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_together" sheetId="1" state="visible" r:id="rId2"/>
    <sheet name="names" sheetId="2" state="visible" r:id="rId3"/>
    <sheet name="SV rad" sheetId="3" state="visible" r:id="rId4"/>
    <sheet name="averages" sheetId="4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<sst xmlns="http://schemas.openxmlformats.org/spreadsheetml/2006/main" count="1648" uniqueCount="402">
  <si>
    <t xml:space="preserve">name</t>
  </si>
  <si>
    <t xml:space="preserve">Condition</t>
  </si>
  <si>
    <t xml:space="preserve">Mito</t>
  </si>
  <si>
    <t xml:space="preserve">Animal</t>
  </si>
  <si>
    <t xml:space="preserve">b_vol</t>
  </si>
  <si>
    <t xml:space="preserve">b_sa</t>
  </si>
  <si>
    <t xml:space="preserve">nr_ves_b</t>
  </si>
  <si>
    <t xml:space="preserve">nr_ves_in</t>
  </si>
  <si>
    <t xml:space="preserve">msb</t>
  </si>
  <si>
    <t xml:space="preserve">mito_vol</t>
  </si>
  <si>
    <t xml:space="preserve">tpsd</t>
  </si>
  <si>
    <t xml:space="preserve">mean_ves_vol</t>
  </si>
  <si>
    <t xml:space="preserve">final_med_mean_dis</t>
  </si>
  <si>
    <t xml:space="preserve">final_dis_AZ</t>
  </si>
  <si>
    <t xml:space="preserve">disp_cm</t>
  </si>
  <si>
    <t xml:space="preserve">dis_ves_cm_f</t>
  </si>
  <si>
    <t xml:space="preserve">dis_cm_az</t>
  </si>
  <si>
    <t xml:space="preserve">final_chull_ax</t>
  </si>
  <si>
    <t xml:space="preserve">final_chull_mvv_ax</t>
  </si>
  <si>
    <t xml:space="preserve">med_ass_ves_vol_final_im</t>
  </si>
  <si>
    <t xml:space="preserve">med_ass_ves_vol_im</t>
  </si>
  <si>
    <t xml:space="preserve">ra_ass_ves_vol_final_ax</t>
  </si>
  <si>
    <t xml:space="preserve">ske_ass_im</t>
  </si>
  <si>
    <t xml:space="preserve">ra_ass_ves_vol</t>
  </si>
  <si>
    <t xml:space="preserve">ra_ass_ves_vol_final</t>
  </si>
  <si>
    <t xml:space="preserve">ra_ske_ass_im</t>
  </si>
  <si>
    <t xml:space="preserve">pval_ra_vav</t>
  </si>
  <si>
    <t xml:space="preserve">med_ass_ves_vol_final_ax</t>
  </si>
  <si>
    <t xml:space="preserve">ske_ass_ax</t>
  </si>
  <si>
    <t xml:space="preserve">ra_ass_ves_vol_ax</t>
  </si>
  <si>
    <t xml:space="preserve">ra_ske_ass_ax</t>
  </si>
  <si>
    <t xml:space="preserve">pval_ra_vav_ax</t>
  </si>
  <si>
    <t xml:space="preserve">dis_ves_ol_ra_f</t>
  </si>
  <si>
    <t xml:space="preserve">p_val_dis_ol</t>
  </si>
  <si>
    <t xml:space="preserve">med_ass_vol_del_ev_f</t>
  </si>
  <si>
    <t xml:space="preserve">dis_chull_az</t>
  </si>
  <si>
    <t xml:space="preserve">dis_chull_az_f</t>
  </si>
  <si>
    <t xml:space="preserve">dis_ves_cm</t>
  </si>
  <si>
    <t xml:space="preserve">dis_ves_ol</t>
  </si>
  <si>
    <t xml:space="preserve">dis_ves_ol_f</t>
  </si>
  <si>
    <t xml:space="preserve">final_med_mean_dis_ra</t>
  </si>
  <si>
    <t xml:space="preserve">rat</t>
  </si>
  <si>
    <t xml:space="preserve">pval_mdnv_ra</t>
  </si>
  <si>
    <t xml:space="preserve">dol_dcm</t>
  </si>
  <si>
    <t xml:space="preserve">dis_m_cm</t>
  </si>
  <si>
    <t xml:space="preserve">med_dis_m</t>
  </si>
  <si>
    <t xml:space="preserve">med_dis_m_f</t>
  </si>
  <si>
    <t xml:space="preserve">den</t>
  </si>
  <si>
    <t xml:space="preserve">chull_del_ves_f</t>
  </si>
  <si>
    <t xml:space="preserve">d01c03ax01</t>
  </si>
  <si>
    <t xml:space="preserve">Control</t>
  </si>
  <si>
    <t xml:space="preserve">Yes</t>
  </si>
  <si>
    <t xml:space="preserve">JB023</t>
  </si>
  <si>
    <t xml:space="preserve">n</t>
  </si>
  <si>
    <t xml:space="preserve">d01c06ax02</t>
  </si>
  <si>
    <t xml:space="preserve">y</t>
  </si>
  <si>
    <t xml:space="preserve">d01c07ax03</t>
  </si>
  <si>
    <t xml:space="preserve">d01c09ax04</t>
  </si>
  <si>
    <t xml:space="preserve">d01c10ax05</t>
  </si>
  <si>
    <t xml:space="preserve">No</t>
  </si>
  <si>
    <t xml:space="preserve">d01c11ax06</t>
  </si>
  <si>
    <t xml:space="preserve">d01c13ax08</t>
  </si>
  <si>
    <t xml:space="preserve">d01c14ax09</t>
  </si>
  <si>
    <t xml:space="preserve">d01c15ax10</t>
  </si>
  <si>
    <t xml:space="preserve">d01c16ax11</t>
  </si>
  <si>
    <t xml:space="preserve">d01c18ax12</t>
  </si>
  <si>
    <t xml:space="preserve">d01c19ax08</t>
  </si>
  <si>
    <t xml:space="preserve">d01c20ax14</t>
  </si>
  <si>
    <t xml:space="preserve">d01c21ax15</t>
  </si>
  <si>
    <t xml:space="preserve">d01c22Bax17</t>
  </si>
  <si>
    <t xml:space="preserve">d01c23ax18</t>
  </si>
  <si>
    <t xml:space="preserve">d01c25Aax19</t>
  </si>
  <si>
    <t xml:space="preserve">d01c25Bax20</t>
  </si>
  <si>
    <t xml:space="preserve">d01c28Aax21</t>
  </si>
  <si>
    <t xml:space="preserve">d01c32ax23</t>
  </si>
  <si>
    <t xml:space="preserve">d03c04ax24</t>
  </si>
  <si>
    <t xml:space="preserve">d03c05ax25</t>
  </si>
  <si>
    <t xml:space="preserve">d03c06ax26</t>
  </si>
  <si>
    <t xml:space="preserve">d03c07ax27</t>
  </si>
  <si>
    <t xml:space="preserve">d03c08ax28</t>
  </si>
  <si>
    <t xml:space="preserve">d03c09ax29</t>
  </si>
  <si>
    <t xml:space="preserve">d03c10ax30</t>
  </si>
  <si>
    <t xml:space="preserve">d03c11ax31</t>
  </si>
  <si>
    <t xml:space="preserve">d03c13Aax33</t>
  </si>
  <si>
    <t xml:space="preserve">d03c14ax35</t>
  </si>
  <si>
    <t xml:space="preserve">d03c15Bax37</t>
  </si>
  <si>
    <t xml:space="preserve">d03c15Cax38</t>
  </si>
  <si>
    <t xml:space="preserve">d03c16ax39</t>
  </si>
  <si>
    <t xml:space="preserve">d03c17ax40</t>
  </si>
  <si>
    <t xml:space="preserve">d03c18Bax41</t>
  </si>
  <si>
    <t xml:space="preserve">d05c01ax43</t>
  </si>
  <si>
    <t xml:space="preserve">d05c04ax44</t>
  </si>
  <si>
    <t xml:space="preserve">d05c05ax45</t>
  </si>
  <si>
    <t xml:space="preserve">d05c06ax46</t>
  </si>
  <si>
    <t xml:space="preserve">d05c08ax48</t>
  </si>
  <si>
    <t xml:space="preserve">d05c09ax43</t>
  </si>
  <si>
    <t xml:space="preserve">d05c10ax50</t>
  </si>
  <si>
    <t xml:space="preserve">d05c11ax51</t>
  </si>
  <si>
    <t xml:space="preserve">d05c14ax53</t>
  </si>
  <si>
    <t xml:space="preserve">d05c15ax54</t>
  </si>
  <si>
    <t xml:space="preserve">d05c16ax55</t>
  </si>
  <si>
    <t xml:space="preserve">d05c17ax38</t>
  </si>
  <si>
    <t xml:space="preserve">d05c18ax57</t>
  </si>
  <si>
    <t xml:space="preserve">d09c02ax58</t>
  </si>
  <si>
    <t xml:space="preserve">d09c03ax15</t>
  </si>
  <si>
    <t xml:space="preserve">d09c06ax60</t>
  </si>
  <si>
    <t xml:space="preserve">d09c07ax31</t>
  </si>
  <si>
    <t xml:space="preserve">d09c09Bax62</t>
  </si>
  <si>
    <t xml:space="preserve">d09c10ax63</t>
  </si>
  <si>
    <t xml:space="preserve">d09c14ax66</t>
  </si>
  <si>
    <t xml:space="preserve">d01c02ax01</t>
  </si>
  <si>
    <t xml:space="preserve">LTP</t>
  </si>
  <si>
    <t xml:space="preserve">d01c10ax03</t>
  </si>
  <si>
    <t xml:space="preserve">d01c13Aax05</t>
  </si>
  <si>
    <t xml:space="preserve">d01c15ax06</t>
  </si>
  <si>
    <t xml:space="preserve">d01c16ax35</t>
  </si>
  <si>
    <t xml:space="preserve">d01c17ax07</t>
  </si>
  <si>
    <t xml:space="preserve">d01c18ax36</t>
  </si>
  <si>
    <t xml:space="preserve">d01c20ax32</t>
  </si>
  <si>
    <t xml:space="preserve">d01c21ax38</t>
  </si>
  <si>
    <t xml:space="preserve">d01c22ax39</t>
  </si>
  <si>
    <t xml:space="preserve">d01c23ax40</t>
  </si>
  <si>
    <t xml:space="preserve">d01c24ax08</t>
  </si>
  <si>
    <t xml:space="preserve">d01c26ax41</t>
  </si>
  <si>
    <t xml:space="preserve">d01c27ax09</t>
  </si>
  <si>
    <t xml:space="preserve">d01c28ax42</t>
  </si>
  <si>
    <t xml:space="preserve">d01c29ax43</t>
  </si>
  <si>
    <t xml:space="preserve">d01c30ax44</t>
  </si>
  <si>
    <t xml:space="preserve">d01c35ax10</t>
  </si>
  <si>
    <t xml:space="preserve">d01c36ax11</t>
  </si>
  <si>
    <t xml:space="preserve">d01c44ax12</t>
  </si>
  <si>
    <t xml:space="preserve">d01c48ax45</t>
  </si>
  <si>
    <t xml:space="preserve">d01c49ax46</t>
  </si>
  <si>
    <t xml:space="preserve">d01c50ax47</t>
  </si>
  <si>
    <t xml:space="preserve">d02c20ax48</t>
  </si>
  <si>
    <t xml:space="preserve">d02c21ax13</t>
  </si>
  <si>
    <t xml:space="preserve">d02c23ax14</t>
  </si>
  <si>
    <t xml:space="preserve">d02c25ax50</t>
  </si>
  <si>
    <t xml:space="preserve">d02c26ax51</t>
  </si>
  <si>
    <t xml:space="preserve">d02c29ax15</t>
  </si>
  <si>
    <t xml:space="preserve">d02c30ax53</t>
  </si>
  <si>
    <t xml:space="preserve">d02c32ax54</t>
  </si>
  <si>
    <t xml:space="preserve">d02c33ax10</t>
  </si>
  <si>
    <t xml:space="preserve">d02c37ax16</t>
  </si>
  <si>
    <t xml:space="preserve">d02c45ax17</t>
  </si>
  <si>
    <t xml:space="preserve">d02c46ax18</t>
  </si>
  <si>
    <t xml:space="preserve">d05c10ax56</t>
  </si>
  <si>
    <t xml:space="preserve">d05c11ax57</t>
  </si>
  <si>
    <t xml:space="preserve">d05c13ax19</t>
  </si>
  <si>
    <t xml:space="preserve">d05c15ax59</t>
  </si>
  <si>
    <t xml:space="preserve">d05c16ax60</t>
  </si>
  <si>
    <t xml:space="preserve">d05c17ax61</t>
  </si>
  <si>
    <t xml:space="preserve">d05c18ax20</t>
  </si>
  <si>
    <t xml:space="preserve">d05c20ax62</t>
  </si>
  <si>
    <t xml:space="preserve">d05c21ax63</t>
  </si>
  <si>
    <t xml:space="preserve">d05c22ax64</t>
  </si>
  <si>
    <t xml:space="preserve">d05c23ax43</t>
  </si>
  <si>
    <t xml:space="preserve">d05c24ax66</t>
  </si>
  <si>
    <t xml:space="preserve">d05c25ax22</t>
  </si>
  <si>
    <t xml:space="preserve">d08c05ax24</t>
  </si>
  <si>
    <t xml:space="preserve">d08c09ax25</t>
  </si>
  <si>
    <t xml:space="preserve">d08c12ax68</t>
  </si>
  <si>
    <t xml:space="preserve">d08c13ax69</t>
  </si>
  <si>
    <t xml:space="preserve">d08c14ax70</t>
  </si>
  <si>
    <t xml:space="preserve">d08c15ax71</t>
  </si>
  <si>
    <t xml:space="preserve">d08c16ax72</t>
  </si>
  <si>
    <t xml:space="preserve">d08c17ax73</t>
  </si>
  <si>
    <t xml:space="preserve">d08c18ax74</t>
  </si>
  <si>
    <t xml:space="preserve">d08c22ax75</t>
  </si>
  <si>
    <t xml:space="preserve">d08c23ax76</t>
  </si>
  <si>
    <t xml:space="preserve">d08c24ax77</t>
  </si>
  <si>
    <t xml:space="preserve">d08c25ax40</t>
  </si>
  <si>
    <t xml:space="preserve">d08c27ax26</t>
  </si>
  <si>
    <t xml:space="preserve">d08c28ax27</t>
  </si>
  <si>
    <t xml:space="preserve">d08c31ax29</t>
  </si>
  <si>
    <t xml:space="preserve">d10c04ax30</t>
  </si>
  <si>
    <t xml:space="preserve">d10c08Bax31</t>
  </si>
  <si>
    <t xml:space="preserve">d10c13ax80</t>
  </si>
  <si>
    <t xml:space="preserve">d10c14ax60</t>
  </si>
  <si>
    <t xml:space="preserve">d10c15Aax20</t>
  </si>
  <si>
    <t xml:space="preserve">d10c16ax83</t>
  </si>
  <si>
    <t xml:space="preserve">d10c20ax86</t>
  </si>
  <si>
    <t xml:space="preserve">d10c21ax87</t>
  </si>
  <si>
    <t xml:space="preserve">d10c23ax88</t>
  </si>
  <si>
    <t xml:space="preserve">d10c27ax89</t>
  </si>
  <si>
    <t xml:space="preserve">d10c32ax33</t>
  </si>
  <si>
    <t xml:space="preserve">d10c36ax34</t>
  </si>
  <si>
    <t xml:space="preserve">JB024</t>
  </si>
  <si>
    <t xml:space="preserve">d01c07ax02</t>
  </si>
  <si>
    <t xml:space="preserve">d01c14ax31</t>
  </si>
  <si>
    <t xml:space="preserve">d01c16ax32</t>
  </si>
  <si>
    <t xml:space="preserve">d01c17ax33</t>
  </si>
  <si>
    <t xml:space="preserve">d01c18ax34</t>
  </si>
  <si>
    <t xml:space="preserve">d01c19ax35</t>
  </si>
  <si>
    <t xml:space="preserve">d01c20ax36</t>
  </si>
  <si>
    <t xml:space="preserve">d01c21ax37</t>
  </si>
  <si>
    <t xml:space="preserve">d01c22ax03</t>
  </si>
  <si>
    <t xml:space="preserve">d01c24ax39</t>
  </si>
  <si>
    <t xml:space="preserve">d01c25ax40</t>
  </si>
  <si>
    <t xml:space="preserve">d01c27ax42</t>
  </si>
  <si>
    <t xml:space="preserve">d01c28ax43</t>
  </si>
  <si>
    <t xml:space="preserve">d01c29Aax44</t>
  </si>
  <si>
    <t xml:space="preserve">n </t>
  </si>
  <si>
    <t xml:space="preserve">d01c29Bax45</t>
  </si>
  <si>
    <t xml:space="preserve">d01c35ax04</t>
  </si>
  <si>
    <t xml:space="preserve">d03c02ax05</t>
  </si>
  <si>
    <t xml:space="preserve">d03c03ax06</t>
  </si>
  <si>
    <t xml:space="preserve">d03c07ax07</t>
  </si>
  <si>
    <t xml:space="preserve">d03c08ax47</t>
  </si>
  <si>
    <t xml:space="preserve">d03c10ax08</t>
  </si>
  <si>
    <t xml:space="preserve">d03c11ax49</t>
  </si>
  <si>
    <t xml:space="preserve">d03c12ax09</t>
  </si>
  <si>
    <t xml:space="preserve">d03c13ax50</t>
  </si>
  <si>
    <t xml:space="preserve">d03c14Aax53</t>
  </si>
  <si>
    <t xml:space="preserve">d03c14Bax54</t>
  </si>
  <si>
    <t xml:space="preserve">d03c16ax56</t>
  </si>
  <si>
    <t xml:space="preserve">d03c17ax57</t>
  </si>
  <si>
    <t xml:space="preserve">d03c18ax48</t>
  </si>
  <si>
    <t xml:space="preserve">d03c19ax10</t>
  </si>
  <si>
    <t xml:space="preserve">d03c20ax46</t>
  </si>
  <si>
    <t xml:space="preserve">d03c22ax11</t>
  </si>
  <si>
    <t xml:space="preserve">d03c25ax45</t>
  </si>
  <si>
    <t xml:space="preserve">d03c29ax12</t>
  </si>
  <si>
    <t xml:space="preserve">d03c30ax13</t>
  </si>
  <si>
    <t xml:space="preserve">d03c33ax14</t>
  </si>
  <si>
    <t xml:space="preserve">d03c37ax15</t>
  </si>
  <si>
    <t xml:space="preserve">d06c08ax60</t>
  </si>
  <si>
    <t xml:space="preserve">d06c09ax61</t>
  </si>
  <si>
    <t xml:space="preserve">d06c10ax62</t>
  </si>
  <si>
    <t xml:space="preserve">d06c11ax63</t>
  </si>
  <si>
    <t xml:space="preserve">d06c12ax64</t>
  </si>
  <si>
    <t xml:space="preserve">d06c13ax65</t>
  </si>
  <si>
    <t xml:space="preserve">d06c14Aax66</t>
  </si>
  <si>
    <t xml:space="preserve">d06c14Bax67</t>
  </si>
  <si>
    <t xml:space="preserve">d06c15ax68</t>
  </si>
  <si>
    <t xml:space="preserve">d06c17ax69</t>
  </si>
  <si>
    <t xml:space="preserve">d06c18ax70</t>
  </si>
  <si>
    <t xml:space="preserve">d06c19ax71</t>
  </si>
  <si>
    <t xml:space="preserve">d06c20ax72</t>
  </si>
  <si>
    <t xml:space="preserve">d06c22ax16</t>
  </si>
  <si>
    <t xml:space="preserve">d06c25ax17</t>
  </si>
  <si>
    <t xml:space="preserve">d07c12ax74</t>
  </si>
  <si>
    <t xml:space="preserve">d07c14Aax75</t>
  </si>
  <si>
    <t xml:space="preserve">d07c16ax76</t>
  </si>
  <si>
    <t xml:space="preserve">d07c17ax77</t>
  </si>
  <si>
    <t xml:space="preserve">d07c18ax78</t>
  </si>
  <si>
    <t xml:space="preserve">d07c19ax79</t>
  </si>
  <si>
    <t xml:space="preserve">d07c20ax38</t>
  </si>
  <si>
    <t xml:space="preserve">d07c22ax18</t>
  </si>
  <si>
    <t xml:space="preserve">d07c23ax19</t>
  </si>
  <si>
    <t xml:space="preserve">d07c24ax81</t>
  </si>
  <si>
    <t xml:space="preserve">d07c25ax20</t>
  </si>
  <si>
    <t xml:space="preserve">d07c26ax82</t>
  </si>
  <si>
    <t xml:space="preserve">d07c27ax83</t>
  </si>
  <si>
    <t xml:space="preserve">d07c28ax21</t>
  </si>
  <si>
    <t xml:space="preserve">d07c34ax22</t>
  </si>
  <si>
    <t xml:space="preserve">d07c37ax23</t>
  </si>
  <si>
    <t xml:space="preserve">d08c06ax24</t>
  </si>
  <si>
    <t xml:space="preserve">d08c07ax84</t>
  </si>
  <si>
    <t xml:space="preserve">d08c08ax85</t>
  </si>
  <si>
    <t xml:space="preserve">d08c09Aax25</t>
  </si>
  <si>
    <t xml:space="preserve">d08c10ax86</t>
  </si>
  <si>
    <t xml:space="preserve">d08c12ax88</t>
  </si>
  <si>
    <t xml:space="preserve">d08c13ax89</t>
  </si>
  <si>
    <t xml:space="preserve">d08c14Aax90</t>
  </si>
  <si>
    <t xml:space="preserve">d08c14Bax91</t>
  </si>
  <si>
    <t xml:space="preserve">d08c15ax26</t>
  </si>
  <si>
    <t xml:space="preserve">d08c16ax92</t>
  </si>
  <si>
    <t xml:space="preserve">d08c17ax27</t>
  </si>
  <si>
    <t xml:space="preserve">d08c18ax93</t>
  </si>
  <si>
    <t xml:space="preserve">d08c19ax94</t>
  </si>
  <si>
    <t xml:space="preserve">d08c20ax50</t>
  </si>
  <si>
    <t xml:space="preserve">d08c22ax30</t>
  </si>
  <si>
    <t xml:space="preserve">d09c01ax28</t>
  </si>
  <si>
    <t xml:space="preserve">d01c05ax03</t>
  </si>
  <si>
    <t xml:space="preserve">d01c08ax32</t>
  </si>
  <si>
    <t xml:space="preserve">d01c10ax33</t>
  </si>
  <si>
    <t xml:space="preserve">d01c11ax02</t>
  </si>
  <si>
    <t xml:space="preserve">d01c12ax19</t>
  </si>
  <si>
    <t xml:space="preserve">d01c13ax35</t>
  </si>
  <si>
    <t xml:space="preserve">d01c14ax04</t>
  </si>
  <si>
    <t xml:space="preserve">d01c15ax05</t>
  </si>
  <si>
    <t xml:space="preserve">d01c16ax36</t>
  </si>
  <si>
    <t xml:space="preserve">d01c17ax37</t>
  </si>
  <si>
    <t xml:space="preserve">d01c18ax38</t>
  </si>
  <si>
    <t xml:space="preserve">d01c20Bax41</t>
  </si>
  <si>
    <t xml:space="preserve">d01c23ax02</t>
  </si>
  <si>
    <t xml:space="preserve">d01c24ax43</t>
  </si>
  <si>
    <t xml:space="preserve">d01c30ax07</t>
  </si>
  <si>
    <t xml:space="preserve">d01c33ax34</t>
  </si>
  <si>
    <t xml:space="preserve">d02c06ax44</t>
  </si>
  <si>
    <t xml:space="preserve">d02c15Aax37</t>
  </si>
  <si>
    <t xml:space="preserve">d02c17ax45</t>
  </si>
  <si>
    <t xml:space="preserve">d02c18ax09</t>
  </si>
  <si>
    <t xml:space="preserve">d02c19ax46</t>
  </si>
  <si>
    <t xml:space="preserve">d02c20Aax47</t>
  </si>
  <si>
    <t xml:space="preserve">d02c20Bax48</t>
  </si>
  <si>
    <t xml:space="preserve">d02c21ax11</t>
  </si>
  <si>
    <t xml:space="preserve">d02c22ax49</t>
  </si>
  <si>
    <t xml:space="preserve">d02c23ax12</t>
  </si>
  <si>
    <t xml:space="preserve">d02c24ax44</t>
  </si>
  <si>
    <t xml:space="preserve">d02c28ax13</t>
  </si>
  <si>
    <t xml:space="preserve">d02c30Aax53</t>
  </si>
  <si>
    <t xml:space="preserve">d02c31ax10</t>
  </si>
  <si>
    <t xml:space="preserve">d02c32Aax11</t>
  </si>
  <si>
    <t xml:space="preserve">d02c32Bax54</t>
  </si>
  <si>
    <t xml:space="preserve">d02c32Cax55</t>
  </si>
  <si>
    <t xml:space="preserve">d02c32Dax56</t>
  </si>
  <si>
    <t xml:space="preserve">d02c33ax14</t>
  </si>
  <si>
    <t xml:space="preserve">d02c37ax15</t>
  </si>
  <si>
    <t xml:space="preserve">d02c38ax16</t>
  </si>
  <si>
    <t xml:space="preserve">d02c43ax52</t>
  </si>
  <si>
    <t xml:space="preserve">d03c06ax57</t>
  </si>
  <si>
    <t xml:space="preserve">d03c07ax58</t>
  </si>
  <si>
    <t xml:space="preserve">d03c08ax59</t>
  </si>
  <si>
    <t xml:space="preserve">d03c09ax17</t>
  </si>
  <si>
    <t xml:space="preserve">d03c10Bax61</t>
  </si>
  <si>
    <t xml:space="preserve">d03c11ax62</t>
  </si>
  <si>
    <t xml:space="preserve">d03c14ax61</t>
  </si>
  <si>
    <t xml:space="preserve">d03c16ax63</t>
  </si>
  <si>
    <t xml:space="preserve">d03c18ax14</t>
  </si>
  <si>
    <t xml:space="preserve">d03c19ax64</t>
  </si>
  <si>
    <t xml:space="preserve">d03c20ax19</t>
  </si>
  <si>
    <t xml:space="preserve">d03c22ax65</t>
  </si>
  <si>
    <t xml:space="preserve">d03c24ax40</t>
  </si>
  <si>
    <t xml:space="preserve">d03c26ax68</t>
  </si>
  <si>
    <t xml:space="preserve">d03c34ax23</t>
  </si>
  <si>
    <t xml:space="preserve">d03c36ax22</t>
  </si>
  <si>
    <t xml:space="preserve">d03c40ax69</t>
  </si>
  <si>
    <t xml:space="preserve">d04c10Bax71</t>
  </si>
  <si>
    <t xml:space="preserve">d04c13ax24</t>
  </si>
  <si>
    <t xml:space="preserve">d04c14ax25</t>
  </si>
  <si>
    <t xml:space="preserve">d04c15ax72</t>
  </si>
  <si>
    <t xml:space="preserve">d04c16ax71</t>
  </si>
  <si>
    <t xml:space="preserve">d04c17ax34</t>
  </si>
  <si>
    <t xml:space="preserve">d04c18Aax13</t>
  </si>
  <si>
    <t xml:space="preserve">d04c18Bax25</t>
  </si>
  <si>
    <t xml:space="preserve">d04c19ax49</t>
  </si>
  <si>
    <t xml:space="preserve">d04c20ax26</t>
  </si>
  <si>
    <t xml:space="preserve">d04c21ax73</t>
  </si>
  <si>
    <t xml:space="preserve">d04c22ax27</t>
  </si>
  <si>
    <t xml:space="preserve">d04c23ax29</t>
  </si>
  <si>
    <t xml:space="preserve">d04c26ax28</t>
  </si>
  <si>
    <t xml:space="preserve">d04c27ax74</t>
  </si>
  <si>
    <t xml:space="preserve">d04c28ax75</t>
  </si>
  <si>
    <t xml:space="preserve">d04c31ax78</t>
  </si>
  <si>
    <t xml:space="preserve">d04c32ax79</t>
  </si>
  <si>
    <t xml:space="preserve">d04c37ax30</t>
  </si>
  <si>
    <t xml:space="preserve">d04c40ax31</t>
  </si>
  <si>
    <t xml:space="preserve">name </t>
  </si>
  <si>
    <t xml:space="preserve">bouton name</t>
  </si>
  <si>
    <t xml:space="preserve">bouton volume</t>
  </si>
  <si>
    <t xml:space="preserve">bouton surface area</t>
  </si>
  <si>
    <t xml:space="preserve">number of synaptic vesicles in the bouton</t>
  </si>
  <si>
    <t xml:space="preserve">number of synaptic vesicles in the interior of cluster</t>
  </si>
  <si>
    <t xml:space="preserve">multi-synaptic bouton</t>
  </si>
  <si>
    <t xml:space="preserve">total mitochondria volume</t>
  </si>
  <si>
    <t xml:space="preserve">total SV volume</t>
  </si>
  <si>
    <t xml:space="preserve">total postsynaptic density</t>
  </si>
  <si>
    <t xml:space="preserve">Final distance to neighboring SVs (dis neigh – 2*rad Svs)</t>
  </si>
  <si>
    <t xml:space="preserve">final_dis_az</t>
  </si>
  <si>
    <t xml:space="preserve">Final distance to the AZ (dis AZ – rad Svs)</t>
  </si>
  <si>
    <t xml:space="preserve">Dispersion Svs from the SV cluster center</t>
  </si>
  <si>
    <t xml:space="preserve">Final distance Svs to the cluster center (dis – rad Svs)</t>
  </si>
  <si>
    <t xml:space="preserve">distance center of the SV cluster to the AZ</t>
  </si>
  <si>
    <t xml:space="preserve">SV cluster vol </t>
  </si>
  <si>
    <t xml:space="preserve">cluster-associated volume (= SV cluster vol – total SV vol)</t>
  </si>
  <si>
    <t xml:space="preserve">median voronoi vol</t>
  </si>
  <si>
    <t xml:space="preserve">median SV-associated vol (voronoi vol – ind SV vol)</t>
  </si>
  <si>
    <t xml:space="preserve">SV radius</t>
  </si>
  <si>
    <t xml:space="preserve">NM</t>
  </si>
  <si>
    <t xml:space="preserve">Mean</t>
  </si>
  <si>
    <t xml:space="preserve">SEM</t>
  </si>
  <si>
    <t xml:space="preserve">XR</t>
  </si>
  <si>
    <t xml:space="preserve">FP</t>
  </si>
  <si>
    <t xml:space="preserve">FW</t>
  </si>
  <si>
    <t xml:space="preserve">FH</t>
  </si>
  <si>
    <t xml:space="preserve">M</t>
  </si>
  <si>
    <t xml:space="preserve">R</t>
  </si>
  <si>
    <t xml:space="preserve">Control NM</t>
  </si>
  <si>
    <t xml:space="preserve">LTP NM</t>
  </si>
  <si>
    <t xml:space="preserve">Control M</t>
  </si>
  <si>
    <t xml:space="preserve">LTP M</t>
  </si>
  <si>
    <t xml:space="preserve"># boutons</t>
  </si>
  <si>
    <t xml:space="preserve">B Vol</t>
  </si>
  <si>
    <t xml:space="preserve">P-val </t>
  </si>
  <si>
    <t xml:space="preserve">C-NM-M</t>
  </si>
  <si>
    <t xml:space="preserve">L-NM-M</t>
  </si>
  <si>
    <t xml:space="preserve">Nr of ves_b</t>
  </si>
  <si>
    <t xml:space="preserve">Total SV Vol</t>
  </si>
  <si>
    <t xml:space="preserve">Mito vol</t>
  </si>
  <si>
    <t xml:space="preserve">Median Mean Dis Ves (-ves rad)</t>
  </si>
  <si>
    <t xml:space="preserve">P-val, C-LTP:</t>
  </si>
  <si>
    <t xml:space="preserve">Dis Ves AZ (-ves rad)</t>
  </si>
  <si>
    <t xml:space="preserve">Dis Ves CM (-ves rad)</t>
  </si>
  <si>
    <t xml:space="preserve">Std Dis</t>
  </si>
  <si>
    <t xml:space="preserve">Dis CM AZ</t>
  </si>
  <si>
    <t xml:space="preserve">SV Cluster Vol (with rad &amp; w SV vol)</t>
  </si>
  <si>
    <t xml:space="preserve">Clu-asso Vol (with rad y without SV vol)</t>
  </si>
  <si>
    <t xml:space="preserve">Glob SV Den (# Svs /clu-asso vol)</t>
  </si>
  <si>
    <t xml:space="preserve">Median Ves-Asso Vol (without SV vol)</t>
  </si>
  <si>
    <t xml:space="preserve">Loc SV Den  (1/ Ves-Asso Vol)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</si>
</sst>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00"/>
    <numFmt numFmtId="166" formatCode="0.000"/>
    <numFmt numFmtId="167" formatCode="0.000000"/>
    <numFmt numFmtId="168" formatCode="&quot;TRUE&quot;;&quot;TRUE&quot;;&quot;FALSE&quot;"/>
    <numFmt numFmtId="169" formatCode="0.00E+00"/>
    <numFmt numFmtId="170" formatCode="#,##0.00"/>
  </numFmts>
  <fonts count="1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sz val="10"/>
      <color rgb="FF000000"/>
      <name val="Arial"/>
      <family val="2"/>
    </font>
    <font>
      <sz val="10"/>
      <color rgb="FFC9211E"/>
      <name val="Arial"/>
      <family val="2"/>
    </font>
    <font>
      <sz val="10"/>
      <color rgb="FF000000"/>
      <name val="Arial"/>
      <family val="0"/>
    </font>
    <font>
      <sz val="10"/>
      <name val="Times New Roman"/>
      <family val="1"/>
    </font>
    <font>
      <sz val="12"/>
      <color rgb="FF000000"/>
      <name val="Arial"/>
      <family val="2"/>
    </font>
    <font>
      <b val="true"/>
      <sz val="10"/>
      <color rgb="FF3465A4"/>
      <name val="Arial"/>
      <family val="2"/>
    </font>
    <font>
      <b val="true"/>
      <sz val="10"/>
      <color rgb="FFFF0000"/>
      <name val="Arial"/>
      <family val="2"/>
    </font>
    <font>
      <b val="true"/>
      <sz val="10"/>
      <color rgb="FF000000"/>
      <name val="Arial"/>
      <family val="2"/>
    </font>
    <font>
      <b val="true"/>
      <sz val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5CE"/>
        <bgColor rgb="FFFFFFFF"/>
      </patternFill>
    </fill>
    <fill>
      <patternFill patternType="solid">
        <fgColor rgb="FFD4EA6B"/>
        <bgColor rgb="FFE8F2A1"/>
      </patternFill>
    </fill>
    <fill>
      <patternFill patternType="solid">
        <fgColor rgb="FFE8F2A1"/>
        <bgColor rgb="FFFFF5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5C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A6B"/>
      <rgbColor rgb="FFE8F2A1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465A4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O298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A202" activeCellId="0" sqref="A202"/>
    </sheetView>
  </sheetViews>
  <sheetFormatPr defaultColWidth="11.53515625" defaultRowHeight="12.8" zeroHeight="false" outlineLevelRow="0" outlineLevelCol="0"/>
  <cols>
    <col collapsed="false" customWidth="true" hidden="false" outlineLevel="0" max="4" min="4" style="0" width="14.67"/>
    <col collapsed="false" customWidth="true" hidden="false" outlineLevel="0" max="7" min="7" style="0" width="14.33"/>
    <col collapsed="false" customWidth="true" hidden="false" outlineLevel="0" max="12" min="12" style="0" width="23.88"/>
    <col collapsed="false" customWidth="true" hidden="false" outlineLevel="0" max="13" min="13" style="1" width="15.96"/>
    <col collapsed="false" customWidth="true" hidden="false" outlineLevel="0" max="14" min="14" style="0" width="15.68"/>
    <col collapsed="false" customWidth="true" hidden="false" outlineLevel="0" max="16" min="15" style="0" width="21.63"/>
    <col collapsed="false" customWidth="true" hidden="false" outlineLevel="0" max="19" min="18" style="0" width="21.79"/>
    <col collapsed="false" customWidth="true" hidden="false" outlineLevel="0" max="20" min="20" style="0" width="27.79"/>
    <col collapsed="false" customWidth="true" hidden="false" outlineLevel="0" max="22" min="21" style="0" width="21.63"/>
    <col collapsed="false" customWidth="true" hidden="false" outlineLevel="0" max="23" min="23" style="0" width="15.68"/>
    <col collapsed="false" customWidth="true" hidden="false" outlineLevel="0" max="24" min="24" style="0" width="21.97"/>
    <col collapsed="false" customWidth="true" hidden="false" outlineLevel="0" max="25" min="25" style="0" width="18.67"/>
    <col collapsed="false" customWidth="true" hidden="false" outlineLevel="0" max="26" min="26" style="0" width="12.17"/>
    <col collapsed="false" customWidth="true" hidden="false" outlineLevel="0" max="29" min="29" style="0" width="34.21"/>
    <col collapsed="false" customWidth="true" hidden="false" outlineLevel="0" max="31" min="30" style="0" width="21.79"/>
    <col collapsed="false" customWidth="true" hidden="false" outlineLevel="0" max="32" min="32" style="2" width="21.79"/>
    <col collapsed="false" customWidth="true" hidden="false" outlineLevel="0" max="33" min="33" style="2" width="16.87"/>
    <col collapsed="false" customWidth="true" hidden="false" outlineLevel="0" max="34" min="34" style="2" width="19.79"/>
    <col collapsed="false" customWidth="true" hidden="false" outlineLevel="0" max="35" min="35" style="0" width="27.79"/>
    <col collapsed="false" customWidth="true" hidden="false" outlineLevel="0" max="38" min="37" style="0" width="19.62"/>
    <col collapsed="false" customWidth="true" hidden="false" outlineLevel="0" max="41" min="41" style="0" width="26.23"/>
    <col collapsed="false" customWidth="true" hidden="false" outlineLevel="0" max="43" min="42" style="0" width="19.62"/>
    <col collapsed="false" customWidth="true" hidden="false" outlineLevel="0" max="44" min="44" style="0" width="22.92"/>
    <col collapsed="false" customWidth="true" hidden="false" outlineLevel="0" max="45" min="45" style="0" width="15.39"/>
    <col collapsed="false" customWidth="true" hidden="false" outlineLevel="0" max="46" min="46" style="0" width="16.24"/>
    <col collapsed="false" customWidth="true" hidden="false" outlineLevel="0" max="47" min="47" style="3" width="15.68"/>
    <col collapsed="false" customWidth="true" hidden="false" outlineLevel="0" max="49" min="49" style="0" width="22.58"/>
    <col collapsed="false" customWidth="true" hidden="false" outlineLevel="0" max="50" min="50" style="0" width="23.88"/>
    <col collapsed="false" customWidth="true" hidden="false" outlineLevel="0" max="53" min="53" style="0" width="13.69"/>
    <col collapsed="false" customWidth="true" hidden="false" outlineLevel="0" max="56" min="56" style="0" width="13.79"/>
    <col collapsed="false" customWidth="true" hidden="false" outlineLevel="0" max="58" min="58" style="3" width="12.69"/>
    <col collapsed="false" customWidth="true" hidden="false" outlineLevel="0" max="59" min="59" style="0" width="23.24"/>
    <col collapsed="false" customWidth="true" hidden="false" outlineLevel="0" max="61" min="61" style="1" width="22.01"/>
    <col collapsed="false" customWidth="true" hidden="false" outlineLevel="0" max="65" min="65" style="0" width="15.8"/>
  </cols>
  <sheetData>
    <row r="1" customFormat="false" ht="12.8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4" t="s">
        <v>13</v>
      </c>
      <c r="O1" s="6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X1" s="7"/>
      <c r="Y1" s="7"/>
      <c r="Z1" s="7"/>
      <c r="AA1" s="7"/>
      <c r="AB1" s="7"/>
      <c r="AC1" s="7"/>
      <c r="AF1" s="8"/>
      <c r="AG1" s="8"/>
      <c r="AH1" s="8"/>
      <c r="AJ1" s="7" t="s">
        <v>22</v>
      </c>
      <c r="AK1" s="7" t="s">
        <v>23</v>
      </c>
      <c r="AL1" s="7" t="s">
        <v>24</v>
      </c>
      <c r="AM1" s="7" t="s">
        <v>25</v>
      </c>
      <c r="AN1" s="7" t="s">
        <v>26</v>
      </c>
      <c r="AO1" s="7" t="s">
        <v>27</v>
      </c>
      <c r="AP1" s="7" t="s">
        <v>28</v>
      </c>
      <c r="AQ1" s="7" t="s">
        <v>29</v>
      </c>
      <c r="AR1" s="7" t="s">
        <v>21</v>
      </c>
      <c r="AS1" s="7" t="s">
        <v>30</v>
      </c>
      <c r="AT1" s="7" t="s">
        <v>31</v>
      </c>
      <c r="AU1" s="7" t="s">
        <v>32</v>
      </c>
      <c r="AV1" s="7" t="s">
        <v>33</v>
      </c>
      <c r="AW1" s="7" t="s">
        <v>34</v>
      </c>
      <c r="AZ1" s="7" t="s">
        <v>35</v>
      </c>
      <c r="BA1" s="7" t="s">
        <v>36</v>
      </c>
      <c r="BC1" s="7" t="s">
        <v>37</v>
      </c>
      <c r="BD1" s="7" t="s">
        <v>15</v>
      </c>
      <c r="BE1" s="7" t="s">
        <v>38</v>
      </c>
      <c r="BF1" s="7" t="s">
        <v>39</v>
      </c>
      <c r="BG1" s="9" t="s">
        <v>40</v>
      </c>
      <c r="BH1" s="9" t="s">
        <v>41</v>
      </c>
      <c r="BI1" s="9" t="s">
        <v>42</v>
      </c>
      <c r="BJ1" s="7" t="s">
        <v>43</v>
      </c>
      <c r="BK1" s="7" t="s">
        <v>44</v>
      </c>
      <c r="BL1" s="7" t="s">
        <v>45</v>
      </c>
      <c r="BM1" s="7" t="s">
        <v>46</v>
      </c>
      <c r="BN1" s="0" t="s">
        <v>47</v>
      </c>
      <c r="BO1" s="7" t="s">
        <v>48</v>
      </c>
    </row>
    <row r="2" customFormat="false" ht="12.8" hidden="false" customHeight="false" outlineLevel="0" collapsed="false">
      <c r="A2" s="0" t="s">
        <v>49</v>
      </c>
      <c r="B2" s="0" t="s">
        <v>50</v>
      </c>
      <c r="C2" s="0" t="s">
        <v>51</v>
      </c>
      <c r="D2" s="0" t="s">
        <v>52</v>
      </c>
      <c r="E2" s="10" t="n">
        <v>0.281525</v>
      </c>
      <c r="F2" s="0" t="n">
        <v>2.4635</v>
      </c>
      <c r="G2" s="0" t="n">
        <v>560</v>
      </c>
      <c r="H2" s="0" t="n">
        <v>502</v>
      </c>
      <c r="I2" s="0" t="s">
        <v>53</v>
      </c>
      <c r="J2" s="0" t="n">
        <v>0.0284091309</v>
      </c>
      <c r="K2" s="0" t="n">
        <v>0.149145</v>
      </c>
      <c r="L2" s="0" t="n">
        <v>0.0316104242744039</v>
      </c>
      <c r="M2" s="1" t="n">
        <v>0.0249148243716228</v>
      </c>
      <c r="N2" s="0" t="n">
        <v>0.306815895700633</v>
      </c>
      <c r="O2" s="0" t="n">
        <v>0.26415949427751</v>
      </c>
      <c r="P2" s="0" t="n">
        <v>0.206277400926643</v>
      </c>
      <c r="Q2" s="0" t="n">
        <v>0.343944954108917</v>
      </c>
      <c r="R2" s="11" t="n">
        <v>0.17607479271</v>
      </c>
      <c r="S2" s="0" t="n">
        <v>0.14447136267789</v>
      </c>
      <c r="T2" s="0" t="n">
        <v>0.000100972257396833</v>
      </c>
      <c r="U2" s="0" t="n">
        <v>0.0001553062940635</v>
      </c>
      <c r="V2" s="0" t="n">
        <v>0.000197437895267333</v>
      </c>
      <c r="Z2" s="1"/>
      <c r="AA2" s="1"/>
      <c r="AB2" s="11"/>
      <c r="AJ2" s="0" t="n">
        <v>2.88007442420537</v>
      </c>
      <c r="AK2" s="0" t="n">
        <v>0</v>
      </c>
      <c r="AL2" s="0" t="n">
        <f aca="false">AK2-0.0000543340366666667</f>
        <v>-5.43340366666667E-005</v>
      </c>
      <c r="AM2" s="0" t="n">
        <v>100</v>
      </c>
      <c r="AN2" s="0" t="n">
        <v>0</v>
      </c>
      <c r="AO2" s="0" t="n">
        <v>0.000101062198750333</v>
      </c>
      <c r="AP2" s="0" t="n">
        <v>2.853256626921</v>
      </c>
      <c r="AQ2" s="0" t="n">
        <v>0.000251771931934</v>
      </c>
      <c r="AR2" s="0" t="n">
        <f aca="false">AQ2-0.0000543340366666667</f>
        <v>0.000197437895267333</v>
      </c>
      <c r="AS2" s="0" t="n">
        <v>0.709472932452873</v>
      </c>
      <c r="AT2" s="0" t="n">
        <v>2.76871713341183E-029</v>
      </c>
      <c r="AU2" s="3" t="n">
        <v>0.071600925068592</v>
      </c>
      <c r="AV2" s="0" t="n">
        <v>0.0820411043116335</v>
      </c>
      <c r="AW2" s="0" t="n">
        <v>0.000151097135417333</v>
      </c>
      <c r="AZ2" s="0" t="n">
        <v>0.395960856590834</v>
      </c>
      <c r="BA2" s="0" t="n">
        <v>0.372460856590834</v>
      </c>
      <c r="BC2" s="0" t="n">
        <v>0.229777400926643</v>
      </c>
      <c r="BD2" s="0" t="n">
        <f aca="false">BC2-0.0235</f>
        <v>0.206277400926643</v>
      </c>
      <c r="BE2" s="0" t="n">
        <v>0.119803252506818</v>
      </c>
      <c r="BF2" s="3" t="n">
        <v>0.072803252506818</v>
      </c>
      <c r="BG2" s="0" t="n">
        <v>0.0394068373251573</v>
      </c>
      <c r="BH2" s="0" t="n">
        <f aca="false">M2/BG2</f>
        <v>0.632246230927982</v>
      </c>
      <c r="BI2" s="0" t="n">
        <v>9.67095785784017E-019</v>
      </c>
      <c r="BJ2" s="0" t="n">
        <v>0.543093639003684</v>
      </c>
      <c r="BK2" s="0" t="n">
        <v>0.166891550609744</v>
      </c>
      <c r="BL2" s="0" t="n">
        <v>0.209455201089812</v>
      </c>
      <c r="BM2" s="0" t="n">
        <v>0.185955201089812</v>
      </c>
      <c r="BN2" s="0" t="e">
        <f aca="false">#REF!/#REF!</f>
        <v>#REF!</v>
      </c>
      <c r="BO2" s="0" t="n">
        <v>0.169223181955</v>
      </c>
    </row>
    <row r="3" customFormat="false" ht="12.8" hidden="false" customHeight="false" outlineLevel="0" collapsed="false">
      <c r="A3" s="0" t="s">
        <v>54</v>
      </c>
      <c r="B3" s="0" t="s">
        <v>50</v>
      </c>
      <c r="C3" s="0" t="s">
        <v>51</v>
      </c>
      <c r="D3" s="0" t="s">
        <v>52</v>
      </c>
      <c r="E3" s="10" t="n">
        <v>0.273475</v>
      </c>
      <c r="F3" s="0" t="n">
        <v>2.56175</v>
      </c>
      <c r="G3" s="0" t="n">
        <v>659</v>
      </c>
      <c r="H3" s="0" t="n">
        <v>598</v>
      </c>
      <c r="I3" s="0" t="s">
        <v>55</v>
      </c>
      <c r="J3" s="0" t="n">
        <v>0.0132145844</v>
      </c>
      <c r="K3" s="0" t="n">
        <v>0.2617734</v>
      </c>
      <c r="L3" s="0" t="n">
        <v>0.0375913800045329</v>
      </c>
      <c r="M3" s="1" t="n">
        <v>0.0242345084415071</v>
      </c>
      <c r="N3" s="0" t="n">
        <v>0.203062536594081</v>
      </c>
      <c r="O3" s="0" t="n">
        <v>0.250359302965482</v>
      </c>
      <c r="P3" s="0" t="n">
        <v>0.212456380214871</v>
      </c>
      <c r="Q3" s="0" t="n">
        <v>0.250375316593124</v>
      </c>
      <c r="R3" s="11" t="n">
        <v>0.158002923815</v>
      </c>
      <c r="S3" s="0" t="n">
        <v>0.120406881961751</v>
      </c>
      <c r="T3" s="0" t="n">
        <v>0.000108960981222833</v>
      </c>
      <c r="U3" s="0" t="n">
        <v>0.0001632950178895</v>
      </c>
      <c r="V3" s="0" t="n">
        <v>0.000137116352476833</v>
      </c>
      <c r="Z3" s="1"/>
      <c r="AA3" s="1"/>
      <c r="AB3" s="11"/>
      <c r="AJ3" s="0" t="n">
        <v>1.8853068545612</v>
      </c>
      <c r="AK3" s="0" t="n">
        <v>0.0001929911142705</v>
      </c>
      <c r="AL3" s="0" t="n">
        <f aca="false">AK3-0.0000543340366666667</f>
        <v>0.000138657077603833</v>
      </c>
      <c r="AM3" s="0" t="n">
        <v>0.850719096188105</v>
      </c>
      <c r="AN3" s="0" t="n">
        <v>2.0253355869208E-007</v>
      </c>
      <c r="AO3" s="0" t="n">
        <v>0.000108960981222833</v>
      </c>
      <c r="AP3" s="0" t="n">
        <v>1.8853068545612</v>
      </c>
      <c r="AQ3" s="0" t="n">
        <v>0.0001914503891435</v>
      </c>
      <c r="AR3" s="0" t="n">
        <f aca="false">AQ3-0.0000543340366666667</f>
        <v>0.000137116352476833</v>
      </c>
      <c r="AS3" s="0" t="n">
        <v>0.864063829482592</v>
      </c>
      <c r="AT3" s="0" t="n">
        <v>7.5088128342441E-007</v>
      </c>
      <c r="AU3" s="3" t="n">
        <v>0.064982356011535</v>
      </c>
      <c r="AV3" s="0" t="n">
        <v>1.15055208502189E-005</v>
      </c>
      <c r="AW3" s="0" t="n">
        <v>0.000212446989152333</v>
      </c>
      <c r="AZ3" s="0" t="n">
        <v>0.146869871431418</v>
      </c>
      <c r="BA3" s="0" t="n">
        <v>0.123369871431418</v>
      </c>
      <c r="BC3" s="0" t="n">
        <v>0.235956380214871</v>
      </c>
      <c r="BD3" s="0" t="n">
        <f aca="false">BC3-0.0235</f>
        <v>0.212456380214871</v>
      </c>
      <c r="BE3" s="0" t="n">
        <v>0.125574580177516</v>
      </c>
      <c r="BF3" s="3" t="n">
        <v>0.078574580177516</v>
      </c>
      <c r="BG3" s="0" t="n">
        <v>0.0319915457122675</v>
      </c>
      <c r="BH3" s="0" t="n">
        <f aca="false">M3/BG3</f>
        <v>0.757528525175766</v>
      </c>
      <c r="BI3" s="0" t="n">
        <v>1.84365792532E-009</v>
      </c>
      <c r="BJ3" s="0" t="n">
        <v>0.544306256462487</v>
      </c>
      <c r="BK3" s="0" t="n">
        <v>0.220802129469012</v>
      </c>
      <c r="BL3" s="0" t="n">
        <v>0.295262085005234</v>
      </c>
      <c r="BM3" s="0" t="n">
        <v>0.271762085005234</v>
      </c>
      <c r="BN3" s="0" t="e">
        <f aca="false">#REF!/#REF!</f>
        <v>#REF!</v>
      </c>
      <c r="BO3" s="0" t="n">
        <v>0.146162521605</v>
      </c>
    </row>
    <row r="4" customFormat="false" ht="12.8" hidden="false" customHeight="false" outlineLevel="0" collapsed="false">
      <c r="A4" s="0" t="s">
        <v>56</v>
      </c>
      <c r="B4" s="0" t="s">
        <v>50</v>
      </c>
      <c r="C4" s="0" t="s">
        <v>51</v>
      </c>
      <c r="D4" s="0" t="s">
        <v>52</v>
      </c>
      <c r="E4" s="10" t="n">
        <v>0.278475</v>
      </c>
      <c r="F4" s="0" t="n">
        <v>3.12425</v>
      </c>
      <c r="G4" s="0" t="n">
        <v>754</v>
      </c>
      <c r="H4" s="0" t="n">
        <v>700</v>
      </c>
      <c r="I4" s="0" t="s">
        <v>55</v>
      </c>
      <c r="J4" s="0" t="n">
        <v>0.0606388617</v>
      </c>
      <c r="K4" s="0" t="n">
        <v>0.1294623</v>
      </c>
      <c r="L4" s="0" t="n">
        <v>0.0430292128951268</v>
      </c>
      <c r="M4" s="1" t="n">
        <v>0.0196066835480063</v>
      </c>
      <c r="N4" s="0" t="n">
        <v>0.255745710334454</v>
      </c>
      <c r="O4" s="0" t="n">
        <v>0.28947269006579</v>
      </c>
      <c r="P4" s="0" t="n">
        <v>0.223145442222316</v>
      </c>
      <c r="Q4" s="0" t="n">
        <v>0.386422825128591</v>
      </c>
      <c r="R4" s="11" t="n">
        <v>0.177674998585</v>
      </c>
      <c r="S4" s="0" t="n">
        <v>0.134652500696414</v>
      </c>
      <c r="T4" s="0" t="n">
        <v>8.55652571033333E-005</v>
      </c>
      <c r="U4" s="0" t="n">
        <v>0.00013989929377</v>
      </c>
      <c r="V4" s="0" t="n">
        <v>0.000102956068912333</v>
      </c>
      <c r="Z4" s="1"/>
      <c r="AA4" s="1"/>
      <c r="AB4" s="11"/>
      <c r="AJ4" s="0" t="n">
        <v>3.54243401006535</v>
      </c>
      <c r="AK4" s="0" t="n">
        <v>0.000190842941599</v>
      </c>
      <c r="AL4" s="0" t="n">
        <f aca="false">AK4-0.0000543340366666667</f>
        <v>0.000136508904932333</v>
      </c>
      <c r="AM4" s="0" t="n">
        <v>1.86103864403207</v>
      </c>
      <c r="AN4" s="0" t="n">
        <v>1.93520639768431E-026</v>
      </c>
      <c r="AO4" s="0" t="n">
        <v>8.32646948233333E-005</v>
      </c>
      <c r="AP4" s="0" t="n">
        <v>0.825261814896738</v>
      </c>
      <c r="AQ4" s="0" t="n">
        <v>0.000157290105579</v>
      </c>
      <c r="AR4" s="0" t="n">
        <f aca="false">AQ4-0.0000543340366666667</f>
        <v>0.000102956068912333</v>
      </c>
      <c r="AS4" s="0" t="n">
        <v>1.38973789667426</v>
      </c>
      <c r="AT4" s="0" t="n">
        <v>5.35994695755541E-006</v>
      </c>
      <c r="AU4" s="3" t="n">
        <v>0.090546621174269</v>
      </c>
      <c r="AV4" s="0" t="n">
        <v>0.25835094778285</v>
      </c>
      <c r="AW4" s="0" t="n">
        <v>0.000207794107429833</v>
      </c>
      <c r="AZ4" s="0" t="n">
        <v>0.183462570964133</v>
      </c>
      <c r="BA4" s="0" t="n">
        <v>0.159962570964133</v>
      </c>
      <c r="BC4" s="0" t="n">
        <v>0.246645442222316</v>
      </c>
      <c r="BD4" s="0" t="n">
        <f aca="false">BC4-0.0235</f>
        <v>0.223145442222316</v>
      </c>
      <c r="BE4" s="0" t="n">
        <v>0.128671438389435</v>
      </c>
      <c r="BF4" s="3" t="n">
        <v>0.081671438389435</v>
      </c>
      <c r="BG4" s="0" t="n">
        <v>0.0329268302273195</v>
      </c>
      <c r="BH4" s="0" t="n">
        <f aca="false">M4/BG4</f>
        <v>0.595462223744166</v>
      </c>
      <c r="BI4" s="0" t="n">
        <v>7.27107329494029E-032</v>
      </c>
      <c r="BJ4" s="0" t="n">
        <v>0.522694330019649</v>
      </c>
      <c r="BK4" s="0" t="n">
        <v>0.318769903215463</v>
      </c>
      <c r="BL4" s="0" t="n">
        <v>0.288489969510035</v>
      </c>
      <c r="BM4" s="0" t="n">
        <v>0.264989969510035</v>
      </c>
      <c r="BN4" s="0" t="e">
        <f aca="false">#REF!/#REF!</f>
        <v>#REF!</v>
      </c>
      <c r="BO4" s="0" t="n">
        <v>0.152104801385</v>
      </c>
    </row>
    <row r="5" customFormat="false" ht="12.8" hidden="false" customHeight="false" outlineLevel="0" collapsed="false">
      <c r="A5" s="0" t="s">
        <v>57</v>
      </c>
      <c r="B5" s="0" t="s">
        <v>50</v>
      </c>
      <c r="C5" s="0" t="s">
        <v>51</v>
      </c>
      <c r="D5" s="0" t="s">
        <v>52</v>
      </c>
      <c r="E5" s="10" t="n">
        <v>0.1874</v>
      </c>
      <c r="F5" s="0" t="n">
        <v>2.1535</v>
      </c>
      <c r="G5" s="0" t="n">
        <v>336</v>
      </c>
      <c r="H5" s="0" t="n">
        <v>295</v>
      </c>
      <c r="I5" s="0" t="s">
        <v>55</v>
      </c>
      <c r="J5" s="0" t="n">
        <v>0.0262277648</v>
      </c>
      <c r="K5" s="0" t="n">
        <v>0.0586565</v>
      </c>
      <c r="L5" s="2" t="n">
        <v>0.019177994279309</v>
      </c>
      <c r="M5" s="1" t="n">
        <v>0.0249475735926895</v>
      </c>
      <c r="N5" s="0" t="n">
        <v>0.158654097843986</v>
      </c>
      <c r="O5" s="0" t="n">
        <v>0.257457563547859</v>
      </c>
      <c r="P5" s="0" t="n">
        <v>0.166905973547204</v>
      </c>
      <c r="Q5" s="0" t="n">
        <v>0.197216595518927</v>
      </c>
      <c r="R5" s="11" t="n">
        <v>0.094666390585</v>
      </c>
      <c r="S5" s="0" t="n">
        <v>0.0754934919188426</v>
      </c>
      <c r="T5" s="0" t="n">
        <v>9.12588558863333E-005</v>
      </c>
      <c r="U5" s="0" t="n">
        <v>0.000145592892553</v>
      </c>
      <c r="V5" s="0" t="n">
        <v>0.000159043382024833</v>
      </c>
      <c r="Z5" s="1"/>
      <c r="AA5" s="1"/>
      <c r="AB5" s="11"/>
      <c r="AJ5" s="0" t="n">
        <v>0.826669939222999</v>
      </c>
      <c r="AK5" s="0" t="n">
        <v>0.0002195752963315</v>
      </c>
      <c r="AL5" s="0" t="n">
        <f aca="false">AK5-0.0000543340366666667</f>
        <v>0.000165241259664833</v>
      </c>
      <c r="AM5" s="0" t="n">
        <v>0.707364212751667</v>
      </c>
      <c r="AN5" s="0" t="n">
        <v>2.23043603776E-009</v>
      </c>
      <c r="AO5" s="0" t="n">
        <v>9.12588558863333E-005</v>
      </c>
      <c r="AP5" s="0" t="n">
        <v>0.826669939222999</v>
      </c>
      <c r="AQ5" s="0" t="n">
        <v>0.0002133774186915</v>
      </c>
      <c r="AR5" s="0" t="n">
        <f aca="false">AQ5-0.0000543340366666667</f>
        <v>0.000159043382024833</v>
      </c>
      <c r="AS5" s="0" t="n">
        <v>0.703222667709173</v>
      </c>
      <c r="AT5" s="0" t="n">
        <v>9.070075285494E-008</v>
      </c>
      <c r="AU5" s="3" t="n">
        <v>0.054595890393204</v>
      </c>
      <c r="AV5" s="0" t="n">
        <v>0.233328988029651</v>
      </c>
      <c r="AW5" s="0" t="n">
        <v>0.000161585677828333</v>
      </c>
      <c r="AZ5" s="0" t="n">
        <v>0.180224980886434</v>
      </c>
      <c r="BA5" s="0" t="n">
        <v>0.156724980886434</v>
      </c>
      <c r="BC5" s="0" t="n">
        <v>0.190405973547204</v>
      </c>
      <c r="BD5" s="0" t="n">
        <f aca="false">BC5-0.0235</f>
        <v>0.166905973547204</v>
      </c>
      <c r="BE5" s="0" t="n">
        <v>0.103168758687345</v>
      </c>
      <c r="BF5" s="3" t="n">
        <v>0.056168758687345</v>
      </c>
      <c r="BG5" s="0" t="n">
        <v>0.037395966045024</v>
      </c>
      <c r="BH5" s="0" t="n">
        <f aca="false">M5/BG5</f>
        <v>0.667119377599528</v>
      </c>
      <c r="BI5" s="0" t="n">
        <v>1.1375329028167E-007</v>
      </c>
      <c r="BJ5" s="0" t="n">
        <v>0.560695340134747</v>
      </c>
      <c r="BK5" s="0" t="n">
        <v>0.233402790315352</v>
      </c>
      <c r="BL5" s="0" t="n">
        <v>0.270301719126543</v>
      </c>
      <c r="BM5" s="0" t="n">
        <v>0.246801719126543</v>
      </c>
      <c r="BN5" s="0" t="e">
        <f aca="false">#REF!/#REF!</f>
        <v>#REF!</v>
      </c>
      <c r="BO5" s="0" t="n">
        <v>0.084781360425</v>
      </c>
    </row>
    <row r="6" customFormat="false" ht="12.8" hidden="false" customHeight="false" outlineLevel="0" collapsed="false">
      <c r="A6" s="0" t="s">
        <v>58</v>
      </c>
      <c r="B6" s="0" t="s">
        <v>50</v>
      </c>
      <c r="C6" s="0" t="s">
        <v>59</v>
      </c>
      <c r="D6" s="0" t="s">
        <v>52</v>
      </c>
      <c r="E6" s="10" t="n">
        <v>0.1666</v>
      </c>
      <c r="F6" s="0" t="n">
        <v>1.7695</v>
      </c>
      <c r="G6" s="0" t="n">
        <v>551</v>
      </c>
      <c r="H6" s="0" t="n">
        <v>486</v>
      </c>
      <c r="I6" s="0" t="s">
        <v>53</v>
      </c>
      <c r="J6" s="0" t="n">
        <v>0</v>
      </c>
      <c r="K6" s="0" t="n">
        <v>0.105877</v>
      </c>
      <c r="L6" s="0" t="n">
        <v>0.027349296993669</v>
      </c>
      <c r="M6" s="1" t="n">
        <v>0.0192591654760241</v>
      </c>
      <c r="N6" s="0" t="n">
        <v>0.201722727503737</v>
      </c>
      <c r="O6" s="0" t="n">
        <v>0.225753374150397</v>
      </c>
      <c r="P6" s="0" t="n">
        <v>0.185071026860439</v>
      </c>
      <c r="Q6" s="0" t="n">
        <v>0.211675824964713</v>
      </c>
      <c r="R6" s="11" t="n">
        <v>0.0904720593624</v>
      </c>
      <c r="S6" s="0" t="n">
        <v>0.0631142410412222</v>
      </c>
      <c r="T6" s="0" t="n">
        <v>7.85225921326667E-005</v>
      </c>
      <c r="U6" s="0" t="n">
        <v>0.000125578313946</v>
      </c>
      <c r="V6" s="0" t="n">
        <v>8.83156576216667E-005</v>
      </c>
      <c r="Z6" s="1"/>
      <c r="AA6" s="1"/>
      <c r="AB6" s="11"/>
      <c r="AJ6" s="0" t="n">
        <v>0.623030199209063</v>
      </c>
      <c r="AK6" s="0" t="n">
        <v>0.000135371379435</v>
      </c>
      <c r="AL6" s="0" t="n">
        <f aca="false">AK6-0.0000470557218133333</f>
        <v>8.83156576216667E-005</v>
      </c>
      <c r="AM6" s="0" t="n">
        <v>1.03633062018819</v>
      </c>
      <c r="AN6" s="0" t="n">
        <v>0.0314208331650589</v>
      </c>
      <c r="AO6" s="0" t="n">
        <v>7.85225921326667E-005</v>
      </c>
      <c r="AP6" s="0" t="n">
        <v>0.623030199209063</v>
      </c>
      <c r="AQ6" s="0" t="n">
        <v>0.000135371379435</v>
      </c>
      <c r="AR6" s="0" t="n">
        <f aca="false">AQ6-0.0000470557218133333</f>
        <v>8.83156576216667E-005</v>
      </c>
      <c r="AS6" s="0" t="n">
        <v>1.03633062018819</v>
      </c>
      <c r="AT6" s="0" t="n">
        <v>0.0628416663301178</v>
      </c>
      <c r="AU6" s="3" t="n">
        <v>0.0432341751968705</v>
      </c>
      <c r="AV6" s="0" t="n">
        <v>0.000122948491541664</v>
      </c>
      <c r="AW6" s="0" t="n">
        <v>0.000221342361377667</v>
      </c>
      <c r="AZ6" s="0" t="n">
        <v>0.204332894210803</v>
      </c>
      <c r="BA6" s="0" t="n">
        <v>0.181932894210803</v>
      </c>
      <c r="BC6" s="0" t="n">
        <v>0.207471026860439</v>
      </c>
      <c r="BD6" s="0" t="n">
        <f aca="false">BC6-0.0224</f>
        <v>0.185071026860439</v>
      </c>
      <c r="BE6" s="0" t="n">
        <v>0.100088433013813</v>
      </c>
      <c r="BF6" s="3" t="n">
        <v>0.055288433013813</v>
      </c>
      <c r="BG6" s="0" t="n">
        <v>0.0245557749011142</v>
      </c>
      <c r="BH6" s="0" t="n">
        <f aca="false">M6/BG6</f>
        <v>0.784302900380074</v>
      </c>
      <c r="BI6" s="0" t="n">
        <v>9.4750690162936E-007</v>
      </c>
      <c r="BJ6" s="0" t="n">
        <v>0.487958215015806</v>
      </c>
      <c r="BK6" s="0" t="n">
        <v>0</v>
      </c>
      <c r="BL6" s="0" t="n">
        <v>0</v>
      </c>
      <c r="BM6" s="0" t="n">
        <v>0</v>
      </c>
      <c r="BN6" s="0" t="e">
        <f aca="false">#REF!/#REF!</f>
        <v>#REF!</v>
      </c>
      <c r="BO6" s="0" t="n">
        <v>0.0810577391264</v>
      </c>
    </row>
    <row r="7" customFormat="false" ht="12.8" hidden="false" customHeight="false" outlineLevel="0" collapsed="false">
      <c r="A7" s="0" t="s">
        <v>60</v>
      </c>
      <c r="B7" s="0" t="s">
        <v>50</v>
      </c>
      <c r="C7" s="0" t="s">
        <v>59</v>
      </c>
      <c r="D7" s="0" t="s">
        <v>52</v>
      </c>
      <c r="E7" s="10" t="n">
        <v>0.16185</v>
      </c>
      <c r="F7" s="0" t="n">
        <v>1.98275</v>
      </c>
      <c r="G7" s="0" t="n">
        <v>339</v>
      </c>
      <c r="H7" s="0" t="n">
        <v>302</v>
      </c>
      <c r="I7" s="0" t="s">
        <v>55</v>
      </c>
      <c r="J7" s="0" t="n">
        <v>0</v>
      </c>
      <c r="K7" s="0" t="n">
        <v>0.0651148</v>
      </c>
      <c r="L7" s="0" t="n">
        <v>0.0168300483629441</v>
      </c>
      <c r="M7" s="1" t="n">
        <v>0.0215293735539032</v>
      </c>
      <c r="N7" s="0" t="n">
        <v>0.168940638726796</v>
      </c>
      <c r="O7" s="0" t="n">
        <v>0.206440503209152</v>
      </c>
      <c r="P7" s="0" t="n">
        <v>0.163179677543599</v>
      </c>
      <c r="Q7" s="0" t="n">
        <v>0.232240195050695</v>
      </c>
      <c r="R7" s="11" t="n">
        <v>0.0682619888896</v>
      </c>
      <c r="S7" s="0" t="n">
        <v>0.0514277922445996</v>
      </c>
      <c r="T7" s="0" t="n">
        <v>7.84307832196667E-005</v>
      </c>
      <c r="U7" s="0" t="n">
        <v>0.000125486505033</v>
      </c>
      <c r="V7" s="0" t="n">
        <v>0.000103105162869167</v>
      </c>
      <c r="Z7" s="1"/>
      <c r="AA7" s="1"/>
      <c r="AB7" s="11"/>
      <c r="AJ7" s="0" t="n">
        <v>0.6908264119805</v>
      </c>
      <c r="AK7" s="0" t="n">
        <v>0.000152934683954</v>
      </c>
      <c r="AL7" s="0" t="n">
        <f aca="false">AK7-0.0000470557218133333</f>
        <v>0.000105878962140667</v>
      </c>
      <c r="AM7" s="0" t="n">
        <v>0.799199310472319</v>
      </c>
      <c r="AN7" s="0" t="n">
        <v>0.00249051811045564</v>
      </c>
      <c r="AO7" s="0" t="n">
        <v>7.84307832196667E-005</v>
      </c>
      <c r="AP7" s="0" t="n">
        <v>0.6908264119805</v>
      </c>
      <c r="AQ7" s="0" t="n">
        <v>0.0001501608846825</v>
      </c>
      <c r="AR7" s="0" t="n">
        <f aca="false">AQ7-0.0000470557218133333</f>
        <v>0.000103105162869167</v>
      </c>
      <c r="AS7" s="0" t="n">
        <v>0.828711271164657</v>
      </c>
      <c r="AT7" s="0" t="n">
        <v>0.00837048073393445</v>
      </c>
      <c r="AU7" s="3" t="n">
        <v>0.0514061161306563</v>
      </c>
      <c r="AV7" s="0" t="n">
        <v>0.043603815876623</v>
      </c>
      <c r="AW7" s="0" t="n">
        <v>0.000159791017091667</v>
      </c>
      <c r="AZ7" s="0" t="n">
        <v>0.186960002871593</v>
      </c>
      <c r="BA7" s="0" t="n">
        <v>0.164560002871593</v>
      </c>
      <c r="BC7" s="0" t="n">
        <v>0.185579677543599</v>
      </c>
      <c r="BD7" s="0" t="n">
        <f aca="false">BC7-0.0224</f>
        <v>0.163179677543599</v>
      </c>
      <c r="BE7" s="0" t="n">
        <v>0.0992873856803572</v>
      </c>
      <c r="BF7" s="3" t="n">
        <v>0.0544873856803572</v>
      </c>
      <c r="BG7" s="0" t="n">
        <v>0.029504539609536</v>
      </c>
      <c r="BH7" s="0" t="n">
        <f aca="false">M7/BG7</f>
        <v>0.729696983542994</v>
      </c>
      <c r="BI7" s="0" t="n">
        <v>3.17810471980733E-005</v>
      </c>
      <c r="BJ7" s="0" t="n">
        <v>0.555496540524573</v>
      </c>
      <c r="BK7" s="0" t="n">
        <v>0</v>
      </c>
      <c r="BL7" s="0" t="n">
        <v>0</v>
      </c>
      <c r="BM7" s="0" t="n">
        <v>0</v>
      </c>
      <c r="BN7" s="0" t="e">
        <f aca="false">#REF!/#REF!</f>
        <v>#REF!</v>
      </c>
      <c r="BO7" s="0" t="n">
        <v>0.0569298477536</v>
      </c>
    </row>
    <row r="8" customFormat="false" ht="12.8" hidden="false" customHeight="false" outlineLevel="0" collapsed="false">
      <c r="A8" s="0" t="s">
        <v>61</v>
      </c>
      <c r="B8" s="0" t="s">
        <v>50</v>
      </c>
      <c r="C8" s="0" t="s">
        <v>51</v>
      </c>
      <c r="D8" s="0" t="s">
        <v>52</v>
      </c>
      <c r="E8" s="10" t="n">
        <v>0.6123</v>
      </c>
      <c r="F8" s="0" t="n">
        <v>5.081</v>
      </c>
      <c r="G8" s="0" t="n">
        <v>1212</v>
      </c>
      <c r="H8" s="0" t="n">
        <v>1131</v>
      </c>
      <c r="I8" s="0" t="s">
        <v>55</v>
      </c>
      <c r="J8" s="0" t="n">
        <v>0.083217863</v>
      </c>
      <c r="K8" s="0" t="n">
        <v>0.406952</v>
      </c>
      <c r="L8" s="0" t="n">
        <v>0.0689869090298149</v>
      </c>
      <c r="M8" s="1" t="n">
        <v>0.0254078467232586</v>
      </c>
      <c r="N8" s="0" t="n">
        <v>0.205782356511852</v>
      </c>
      <c r="O8" s="0" t="n">
        <v>0.548274349226888</v>
      </c>
      <c r="P8" s="0" t="n">
        <v>0.315117207636419</v>
      </c>
      <c r="Q8" s="0" t="n">
        <v>0.272906330927525</v>
      </c>
      <c r="R8" s="11" t="n">
        <v>0.41992502851</v>
      </c>
      <c r="S8" s="0" t="n">
        <v>0.350937660285101</v>
      </c>
      <c r="T8" s="0" t="n">
        <v>9.61290571893333E-005</v>
      </c>
      <c r="U8" s="0" t="n">
        <v>0.000150463093856</v>
      </c>
      <c r="V8" s="0" t="n">
        <v>0.000199273589108333</v>
      </c>
      <c r="Z8" s="1"/>
      <c r="AA8" s="1"/>
      <c r="AB8" s="11"/>
      <c r="AJ8" s="0" t="n">
        <v>3.03619748020076</v>
      </c>
      <c r="AK8" s="0" t="n">
        <v>0.0002935860696125</v>
      </c>
      <c r="AL8" s="0" t="n">
        <f aca="false">AK8-0.0000543340366666667</f>
        <v>0.000239252032945833</v>
      </c>
      <c r="AM8" s="0" t="n">
        <v>3.37061061888204</v>
      </c>
      <c r="AN8" s="0" t="n">
        <v>2.72055322502078E-080</v>
      </c>
      <c r="AO8" s="0" t="n">
        <v>9.61290571893333E-005</v>
      </c>
      <c r="AP8" s="0" t="n">
        <v>3.03619748020076</v>
      </c>
      <c r="AQ8" s="0" t="n">
        <v>0.000253607625775</v>
      </c>
      <c r="AR8" s="0" t="n">
        <f aca="false">AQ8-0.0000543340366666667</f>
        <v>0.000199273589108333</v>
      </c>
      <c r="AS8" s="0" t="n">
        <v>0.820388690283945</v>
      </c>
      <c r="AT8" s="0" t="n">
        <v>9.84777682087157E-048</v>
      </c>
      <c r="AU8" s="3" t="n">
        <v>0.085879421037606</v>
      </c>
      <c r="AV8" s="0" t="n">
        <v>0.175841118909783</v>
      </c>
      <c r="AW8" s="0" t="n">
        <v>0.000129292393737833</v>
      </c>
      <c r="AZ8" s="0" t="n">
        <v>0.200073592722463</v>
      </c>
      <c r="BA8" s="0" t="n">
        <v>0.176573592722463</v>
      </c>
      <c r="BC8" s="0" t="n">
        <v>0.338617207636419</v>
      </c>
      <c r="BD8" s="0" t="n">
        <f aca="false">BC8-0.0235</f>
        <v>0.315117207636419</v>
      </c>
      <c r="BE8" s="0" t="n">
        <v>0.137805653084431</v>
      </c>
      <c r="BF8" s="3" t="n">
        <v>0.090805653084431</v>
      </c>
      <c r="BG8" s="0" t="n">
        <v>0.0422397797952192</v>
      </c>
      <c r="BH8" s="0" t="n">
        <f aca="false">M8/BG8</f>
        <v>0.601514658609426</v>
      </c>
      <c r="BI8" s="0" t="n">
        <v>1.01597288996502E-045</v>
      </c>
      <c r="BJ8" s="0" t="n">
        <v>0.350444895012145</v>
      </c>
      <c r="BK8" s="0" t="n">
        <v>0.0968251745215772</v>
      </c>
      <c r="BL8" s="0" t="n">
        <v>0.160301750618092</v>
      </c>
      <c r="BM8" s="0" t="n">
        <v>0.136801750618092</v>
      </c>
      <c r="BN8" s="0" t="e">
        <f aca="false">#REF!/#REF!</f>
        <v>#REF!</v>
      </c>
      <c r="BO8" s="0" t="n">
        <v>0.40414488671</v>
      </c>
    </row>
    <row r="9" customFormat="false" ht="12.8" hidden="false" customHeight="false" outlineLevel="0" collapsed="false">
      <c r="A9" s="0" t="s">
        <v>62</v>
      </c>
      <c r="B9" s="0" t="s">
        <v>50</v>
      </c>
      <c r="C9" s="0" t="s">
        <v>51</v>
      </c>
      <c r="D9" s="0" t="s">
        <v>52</v>
      </c>
      <c r="E9" s="10" t="n">
        <v>0.183825</v>
      </c>
      <c r="F9" s="0" t="n">
        <v>1.891</v>
      </c>
      <c r="G9" s="0" t="n">
        <v>284</v>
      </c>
      <c r="H9" s="0" t="n">
        <v>242</v>
      </c>
      <c r="I9" s="0" t="s">
        <v>53</v>
      </c>
      <c r="J9" s="0" t="n">
        <v>0.0199765004</v>
      </c>
      <c r="K9" s="0" t="n">
        <v>0.077739</v>
      </c>
      <c r="L9" s="0" t="n">
        <v>0.0162037814589347</v>
      </c>
      <c r="M9" s="1" t="n">
        <v>0.0268030129177447</v>
      </c>
      <c r="N9" s="0" t="n">
        <v>0.208526205847769</v>
      </c>
      <c r="O9" s="0" t="n">
        <v>0.196165618133767</v>
      </c>
      <c r="P9" s="0" t="n">
        <v>0.15503482021479</v>
      </c>
      <c r="Q9" s="0" t="n">
        <v>0.257402979383614</v>
      </c>
      <c r="R9" s="11" t="n">
        <v>0.0756393850755</v>
      </c>
      <c r="S9" s="0" t="n">
        <v>0.0594372563552298</v>
      </c>
      <c r="T9" s="0" t="n">
        <v>0.000112396760428333</v>
      </c>
      <c r="U9" s="0" t="n">
        <v>0.000166730797095</v>
      </c>
      <c r="V9" s="0" t="n">
        <v>0.000153086235833333</v>
      </c>
      <c r="Z9" s="1"/>
      <c r="AA9" s="1"/>
      <c r="AB9" s="11"/>
      <c r="AJ9" s="0" t="n">
        <v>1.96723719788229</v>
      </c>
      <c r="AK9" s="0" t="n">
        <v>0.0002074202725</v>
      </c>
      <c r="AL9" s="0" t="n">
        <f aca="false">AK9-0.0000543340366666667</f>
        <v>0.000153086235833333</v>
      </c>
      <c r="AM9" s="0" t="n">
        <v>0.830851029802376</v>
      </c>
      <c r="AN9" s="0" t="n">
        <v>0.000264929463981633</v>
      </c>
      <c r="AO9" s="0" t="n">
        <v>0.000112396760428333</v>
      </c>
      <c r="AP9" s="0" t="n">
        <v>1.96723719788229</v>
      </c>
      <c r="AQ9" s="0" t="n">
        <v>0.0002074202725</v>
      </c>
      <c r="AR9" s="0" t="n">
        <f aca="false">AQ9-0.0000543340366666667</f>
        <v>0.000153086235833333</v>
      </c>
      <c r="AS9" s="0" t="n">
        <v>0.830851029802376</v>
      </c>
      <c r="AT9" s="0" t="n">
        <v>0.000529858927963265</v>
      </c>
      <c r="AU9" s="3" t="n">
        <v>0.0433711850001593</v>
      </c>
      <c r="AV9" s="0" t="n">
        <v>0.0509521139930216</v>
      </c>
      <c r="AW9" s="0" t="n">
        <v>0.000174281681009333</v>
      </c>
      <c r="AZ9" s="0" t="n">
        <v>0.236116433283976</v>
      </c>
      <c r="BA9" s="0" t="n">
        <v>0.212616433283976</v>
      </c>
      <c r="BC9" s="0" t="n">
        <v>0.17853482021479</v>
      </c>
      <c r="BD9" s="0" t="n">
        <f aca="false">BC9-0.0235</f>
        <v>0.15503482021479</v>
      </c>
      <c r="BE9" s="0" t="n">
        <v>0.0968427038081487</v>
      </c>
      <c r="BF9" s="3" t="n">
        <v>0.0498427038081487</v>
      </c>
      <c r="BG9" s="0" t="n">
        <v>0.0359686658089497</v>
      </c>
      <c r="BH9" s="0" t="n">
        <f aca="false">M9/BG9</f>
        <v>0.745176734108263</v>
      </c>
      <c r="BI9" s="0" t="n">
        <v>7.8820436959671E-007</v>
      </c>
      <c r="BJ9" s="0" t="n">
        <v>0.571940377882506</v>
      </c>
      <c r="BK9" s="0" t="n">
        <v>0.165657410502319</v>
      </c>
      <c r="BL9" s="0" t="n">
        <v>0.212085253286868</v>
      </c>
      <c r="BM9" s="0" t="n">
        <v>0.188585253286868</v>
      </c>
      <c r="BN9" s="0" t="e">
        <f aca="false">#REF!/#REF!</f>
        <v>#REF!</v>
      </c>
      <c r="BO9" s="0" t="n">
        <v>0.0667552345155</v>
      </c>
    </row>
    <row r="10" customFormat="false" ht="12.8" hidden="false" customHeight="false" outlineLevel="0" collapsed="false">
      <c r="A10" s="0" t="s">
        <v>63</v>
      </c>
      <c r="B10" s="0" t="s">
        <v>50</v>
      </c>
      <c r="C10" s="0" t="s">
        <v>59</v>
      </c>
      <c r="D10" s="0" t="s">
        <v>52</v>
      </c>
      <c r="E10" s="10" t="n">
        <v>0.10475</v>
      </c>
      <c r="F10" s="0" t="n">
        <v>1.42425</v>
      </c>
      <c r="G10" s="0" t="n">
        <v>202</v>
      </c>
      <c r="H10" s="0" t="n">
        <v>163</v>
      </c>
      <c r="I10" s="0" t="s">
        <v>53</v>
      </c>
      <c r="J10" s="0" t="n">
        <v>0</v>
      </c>
      <c r="K10" s="0" t="n">
        <v>0.041341</v>
      </c>
      <c r="L10" s="0" t="n">
        <v>0.00943689584077105</v>
      </c>
      <c r="M10" s="1" t="n">
        <v>0.0287231500970999</v>
      </c>
      <c r="N10" s="0" t="n">
        <v>0.195421941390797</v>
      </c>
      <c r="O10" s="0" t="n">
        <v>0.2045135678454</v>
      </c>
      <c r="P10" s="0" t="n">
        <v>0.140242934515934</v>
      </c>
      <c r="Q10" s="0" t="n">
        <v>0.208143175136165</v>
      </c>
      <c r="R10" s="11" t="n">
        <v>0.0527274143304</v>
      </c>
      <c r="S10" s="0" t="n">
        <v>0.0432939727881636</v>
      </c>
      <c r="T10" s="0" t="n">
        <v>0.000107919273808667</v>
      </c>
      <c r="U10" s="0" t="n">
        <v>0.000154974995622</v>
      </c>
      <c r="V10" s="0" t="n">
        <v>0.000171716995937667</v>
      </c>
      <c r="Z10" s="1"/>
      <c r="AA10" s="1"/>
      <c r="AB10" s="11"/>
      <c r="AJ10" s="0" t="n">
        <v>0.740978723757541</v>
      </c>
      <c r="AK10" s="0" t="n">
        <v>0.000218772717751</v>
      </c>
      <c r="AL10" s="0" t="n">
        <f aca="false">AK10-0.0000470557218133333</f>
        <v>0.000171716995937667</v>
      </c>
      <c r="AM10" s="0" t="n">
        <v>-0.140713335556708</v>
      </c>
      <c r="AN10" s="0" t="n">
        <v>0.000381234809129584</v>
      </c>
      <c r="AO10" s="0" t="n">
        <v>0.000107919273808667</v>
      </c>
      <c r="AP10" s="0" t="n">
        <v>0.740978723757541</v>
      </c>
      <c r="AQ10" s="0" t="n">
        <v>0.000218772717751</v>
      </c>
      <c r="AR10" s="0" t="n">
        <f aca="false">AQ10-0.0000470557218133333</f>
        <v>0.000171716995937667</v>
      </c>
      <c r="AS10" s="0" t="n">
        <v>-0.140713335556708</v>
      </c>
      <c r="AT10" s="0" t="n">
        <v>0.000762469618259168</v>
      </c>
      <c r="AU10" s="3" t="n">
        <v>0.0360560504835503</v>
      </c>
      <c r="AV10" s="0" t="n">
        <v>0.420362097861691</v>
      </c>
      <c r="AW10" s="0" t="n">
        <v>0.000164395830354667</v>
      </c>
      <c r="AZ10" s="0" t="n">
        <v>0.238838845494453</v>
      </c>
      <c r="BA10" s="0" t="n">
        <v>0.216438845494453</v>
      </c>
      <c r="BC10" s="0" t="n">
        <v>0.162642934515934</v>
      </c>
      <c r="BD10" s="0" t="n">
        <f aca="false">BC10-0.0224</f>
        <v>0.140242934515934</v>
      </c>
      <c r="BE10" s="0" t="n">
        <v>0.0780459045893828</v>
      </c>
      <c r="BF10" s="3" t="n">
        <v>0.0332459045893828</v>
      </c>
      <c r="BG10" s="0" t="n">
        <v>0.0395141816967801</v>
      </c>
      <c r="BH10" s="0" t="n">
        <f aca="false">M10/BG10</f>
        <v>0.726907375116931</v>
      </c>
      <c r="BI10" s="0" t="n">
        <v>0.001335025277752</v>
      </c>
      <c r="BJ10" s="0" t="n">
        <v>0.512508463312522</v>
      </c>
      <c r="BK10" s="0" t="n">
        <v>0</v>
      </c>
      <c r="BL10" s="0" t="n">
        <v>0</v>
      </c>
      <c r="BM10" s="0" t="n">
        <v>0</v>
      </c>
      <c r="BN10" s="0" t="e">
        <f aca="false">#REF!/#REF!</f>
        <v>#REF!</v>
      </c>
      <c r="BO10" s="0" t="n">
        <v>0.0459849469688</v>
      </c>
    </row>
    <row r="11" customFormat="false" ht="12.8" hidden="false" customHeight="false" outlineLevel="0" collapsed="false">
      <c r="A11" s="0" t="s">
        <v>64</v>
      </c>
      <c r="B11" s="0" t="s">
        <v>50</v>
      </c>
      <c r="C11" s="0" t="s">
        <v>51</v>
      </c>
      <c r="D11" s="0" t="s">
        <v>52</v>
      </c>
      <c r="E11" s="10" t="n">
        <v>0.228225</v>
      </c>
      <c r="F11" s="0" t="n">
        <v>2.14825</v>
      </c>
      <c r="G11" s="0" t="n">
        <v>394</v>
      </c>
      <c r="H11" s="0" t="n">
        <v>340</v>
      </c>
      <c r="I11" s="2" t="s">
        <v>53</v>
      </c>
      <c r="J11" s="2" t="n">
        <v>0.0273973607</v>
      </c>
      <c r="K11" s="2" t="n">
        <v>0.10252</v>
      </c>
      <c r="L11" s="2" t="n">
        <v>0.0223629476676542</v>
      </c>
      <c r="M11" s="1" t="n">
        <v>0.0250162738893983</v>
      </c>
      <c r="N11" s="0" t="n">
        <v>0.192112631422338</v>
      </c>
      <c r="O11" s="0" t="n">
        <v>0.247044599646971</v>
      </c>
      <c r="P11" s="2" t="n">
        <v>0.193279573238919</v>
      </c>
      <c r="Q11" s="0" t="n">
        <v>0.216283090101167</v>
      </c>
      <c r="R11" s="11" t="n">
        <v>0.119023705655</v>
      </c>
      <c r="S11" s="0" t="n">
        <v>0.0966649388339464</v>
      </c>
      <c r="T11" s="0" t="n">
        <v>0.000101278538053833</v>
      </c>
      <c r="U11" s="0" t="n">
        <v>0.0001556125747205</v>
      </c>
      <c r="V11" s="0" t="n">
        <v>0.000164612717349333</v>
      </c>
      <c r="Z11" s="1"/>
      <c r="AA11" s="1"/>
      <c r="AB11" s="11"/>
      <c r="AJ11" s="0" t="n">
        <v>1.88521703010577</v>
      </c>
      <c r="AK11" s="0" t="n">
        <v>0.0002300749128655</v>
      </c>
      <c r="AL11" s="0" t="n">
        <f aca="false">AK11-0.0000543340366666667</f>
        <v>0.000175740876198833</v>
      </c>
      <c r="AM11" s="0" t="n">
        <v>2.81725584416527</v>
      </c>
      <c r="AN11" s="0" t="n">
        <v>7.4168274E-013</v>
      </c>
      <c r="AO11" s="0" t="n">
        <v>0.000101278538053833</v>
      </c>
      <c r="AP11" s="0" t="n">
        <v>1.88521703010577</v>
      </c>
      <c r="AQ11" s="0" t="n">
        <v>0.000218946754016</v>
      </c>
      <c r="AR11" s="0" t="n">
        <f aca="false">AQ11-0.0000543340366666667</f>
        <v>0.000164612717349333</v>
      </c>
      <c r="AS11" s="0" t="n">
        <v>0.950370274390446</v>
      </c>
      <c r="AT11" s="0" t="n">
        <v>4.7015575604E-010</v>
      </c>
      <c r="AU11" s="3" t="n">
        <v>0.058071542966738</v>
      </c>
      <c r="AV11" s="0" t="n">
        <v>0.0866606800023911</v>
      </c>
      <c r="AW11" s="0" t="n">
        <v>0.000162170619956333</v>
      </c>
      <c r="AZ11" s="0" t="n">
        <v>0.212020621236842</v>
      </c>
      <c r="BA11" s="0" t="n">
        <v>0.188520621236842</v>
      </c>
      <c r="BC11" s="0" t="n">
        <v>0.216779573238919</v>
      </c>
      <c r="BD11" s="0" t="n">
        <f aca="false">BC11-0.0235</f>
        <v>0.193279573238919</v>
      </c>
      <c r="BE11" s="0" t="n">
        <v>0.106072254736927</v>
      </c>
      <c r="BF11" s="3" t="n">
        <v>0.059072254736927</v>
      </c>
      <c r="BG11" s="0" t="n">
        <v>0.0393251571545044</v>
      </c>
      <c r="BH11" s="0" t="n">
        <f aca="false">M11/BG11</f>
        <v>0.636139196878781</v>
      </c>
      <c r="BI11" s="0" t="n">
        <v>3.609122777E-011</v>
      </c>
      <c r="BJ11" s="0" t="n">
        <v>0.499274538876714</v>
      </c>
      <c r="BK11" s="0" t="n">
        <v>0.154841801605859</v>
      </c>
      <c r="BL11" s="0" t="n">
        <v>0.143960016690885</v>
      </c>
      <c r="BM11" s="0" t="n">
        <v>0.120460016690885</v>
      </c>
      <c r="BN11" s="0" t="e">
        <f aca="false">#REF!/#REF!</f>
        <v>#REF!</v>
      </c>
      <c r="BO11" s="0" t="n">
        <v>0.112313927995</v>
      </c>
    </row>
    <row r="12" customFormat="false" ht="12.8" hidden="false" customHeight="false" outlineLevel="0" collapsed="false">
      <c r="A12" s="0" t="s">
        <v>65</v>
      </c>
      <c r="B12" s="0" t="s">
        <v>50</v>
      </c>
      <c r="C12" s="0" t="s">
        <v>51</v>
      </c>
      <c r="D12" s="0" t="s">
        <v>52</v>
      </c>
      <c r="E12" s="10" t="n">
        <v>0.29005</v>
      </c>
      <c r="F12" s="0" t="n">
        <v>3.11875</v>
      </c>
      <c r="G12" s="0" t="n">
        <v>417</v>
      </c>
      <c r="H12" s="0" t="n">
        <v>371</v>
      </c>
      <c r="I12" s="0" t="s">
        <v>55</v>
      </c>
      <c r="J12" s="0" t="n">
        <v>0.0224579442</v>
      </c>
      <c r="K12" s="0" t="n">
        <v>0.1182639</v>
      </c>
      <c r="L12" s="0" t="n">
        <v>0.0237890719903206</v>
      </c>
      <c r="M12" s="1" t="n">
        <v>0.0287246002109581</v>
      </c>
      <c r="N12" s="0" t="n">
        <v>0.256351342501793</v>
      </c>
      <c r="O12" s="0" t="n">
        <v>0.287004964455437</v>
      </c>
      <c r="P12" s="0" t="n">
        <v>0.194213311262435</v>
      </c>
      <c r="Q12" s="0" t="n">
        <v>0.365869850424524</v>
      </c>
      <c r="R12" s="11" t="n">
        <v>0.14556778377</v>
      </c>
      <c r="S12" s="0" t="n">
        <v>0.12178451791552</v>
      </c>
      <c r="T12" s="0" t="n">
        <v>0.000107530801932333</v>
      </c>
      <c r="U12" s="0" t="n">
        <v>0.000161864838599</v>
      </c>
      <c r="V12" s="0" t="n">
        <v>0.000232543970809333</v>
      </c>
      <c r="Z12" s="1"/>
      <c r="AA12" s="1"/>
      <c r="AB12" s="11"/>
      <c r="AJ12" s="0" t="n">
        <v>4.29224643503659</v>
      </c>
      <c r="AK12" s="0" t="n">
        <v>0.000287043872254</v>
      </c>
      <c r="AL12" s="0" t="n">
        <f aca="false">AK12-0.0000543340366666667</f>
        <v>0.000232709835587333</v>
      </c>
      <c r="AM12" s="0" t="n">
        <v>1.50770177493232</v>
      </c>
      <c r="AN12" s="0" t="n">
        <v>4.67019560117874E-021</v>
      </c>
      <c r="AO12" s="0" t="n">
        <v>0.000107530801932333</v>
      </c>
      <c r="AP12" s="0" t="n">
        <v>4.29224643503659</v>
      </c>
      <c r="AQ12" s="0" t="n">
        <v>0.000286878007476</v>
      </c>
      <c r="AR12" s="0" t="n">
        <f aca="false">AQ12-0.0000543340366666667</f>
        <v>0.000232543970809333</v>
      </c>
      <c r="AS12" s="0" t="n">
        <v>0.612369483705629</v>
      </c>
      <c r="AT12" s="0" t="n">
        <v>6.86040512122658E-019</v>
      </c>
      <c r="AU12" s="3" t="n">
        <v>0.066953228779853</v>
      </c>
      <c r="AV12" s="0" t="n">
        <v>0.0874167667389295</v>
      </c>
      <c r="AW12" s="0" t="n">
        <v>0.000138136891678833</v>
      </c>
      <c r="AZ12" s="0" t="n">
        <v>0.175199872137181</v>
      </c>
      <c r="BA12" s="0" t="n">
        <v>0.151699872137181</v>
      </c>
      <c r="BC12" s="0" t="n">
        <v>0.217713311262435</v>
      </c>
      <c r="BD12" s="0" t="n">
        <f aca="false">BC12-0.0235</f>
        <v>0.194213311262435</v>
      </c>
      <c r="BE12" s="0" t="n">
        <v>0.117428457545418</v>
      </c>
      <c r="BF12" s="3" t="n">
        <v>0.070428457545418</v>
      </c>
      <c r="BG12" s="0" t="n">
        <v>0.0443460894967738</v>
      </c>
      <c r="BH12" s="0" t="n">
        <f aca="false">M12/BG12</f>
        <v>0.647736937730391</v>
      </c>
      <c r="BI12" s="0" t="n">
        <v>1.411247E-014</v>
      </c>
      <c r="BJ12" s="0" t="n">
        <v>0.522666854083424</v>
      </c>
      <c r="BK12" s="0" t="n">
        <v>0.154955054620367</v>
      </c>
      <c r="BL12" s="0" t="n">
        <v>0.220244277311017</v>
      </c>
      <c r="BM12" s="0" t="n">
        <v>0.196744277311017</v>
      </c>
      <c r="BN12" s="0" t="e">
        <f aca="false">#REF!/#REF!</f>
        <v>#REF!</v>
      </c>
      <c r="BO12" s="0" t="n">
        <v>0.142595336185</v>
      </c>
    </row>
    <row r="13" customFormat="false" ht="12.8" hidden="false" customHeight="false" outlineLevel="0" collapsed="false">
      <c r="A13" s="0" t="s">
        <v>66</v>
      </c>
      <c r="B13" s="0" t="s">
        <v>50</v>
      </c>
      <c r="C13" s="0" t="s">
        <v>59</v>
      </c>
      <c r="D13" s="0" t="s">
        <v>52</v>
      </c>
      <c r="E13" s="10" t="n">
        <v>0.1257</v>
      </c>
      <c r="F13" s="0" t="n">
        <v>1.66675</v>
      </c>
      <c r="G13" s="0" t="n">
        <v>273</v>
      </c>
      <c r="H13" s="0" t="n">
        <v>229</v>
      </c>
      <c r="I13" s="0" t="s">
        <v>53</v>
      </c>
      <c r="J13" s="0" t="n">
        <v>0</v>
      </c>
      <c r="K13" s="0" t="n">
        <v>0.086665</v>
      </c>
      <c r="L13" s="0" t="n">
        <v>0.0135507714314854</v>
      </c>
      <c r="M13" s="1" t="n">
        <v>0.0270486783787344</v>
      </c>
      <c r="N13" s="0" t="n">
        <v>0.145958808142835</v>
      </c>
      <c r="O13" s="0" t="n">
        <v>0.209568890471662</v>
      </c>
      <c r="P13" s="0" t="n">
        <v>0.15971810394018</v>
      </c>
      <c r="Q13" s="0" t="n">
        <v>0.135792759965492</v>
      </c>
      <c r="R13" s="11" t="n">
        <v>0.064109095024</v>
      </c>
      <c r="S13" s="0" t="n">
        <v>0.0505561643452687</v>
      </c>
      <c r="T13" s="0" t="n">
        <v>0.000101015445954667</v>
      </c>
      <c r="U13" s="0" t="n">
        <v>0.000148071167768</v>
      </c>
      <c r="V13" s="0" t="n">
        <v>0.000139651731484667</v>
      </c>
      <c r="Z13" s="1"/>
      <c r="AA13" s="1"/>
      <c r="AB13" s="11"/>
      <c r="AJ13" s="0" t="n">
        <v>1.69812508918817</v>
      </c>
      <c r="AK13" s="0" t="n">
        <v>0.000188287093034</v>
      </c>
      <c r="AL13" s="0" t="n">
        <f aca="false">AK13-0.0000470557218133333</f>
        <v>0.000141231371220667</v>
      </c>
      <c r="AM13" s="0" t="n">
        <v>0.373861096294428</v>
      </c>
      <c r="AN13" s="0" t="n">
        <v>0.00021876069279699</v>
      </c>
      <c r="AO13" s="0" t="n">
        <v>0.000101015445954667</v>
      </c>
      <c r="AP13" s="0" t="n">
        <v>1.69812508918817</v>
      </c>
      <c r="AQ13" s="0" t="n">
        <v>0.000186707453298</v>
      </c>
      <c r="AR13" s="0" t="n">
        <f aca="false">AQ13-0.0000470557218133333</f>
        <v>0.000139651731484667</v>
      </c>
      <c r="AS13" s="0" t="n">
        <v>0.354622381274957</v>
      </c>
      <c r="AT13" s="0" t="n">
        <v>0.00168562160209082</v>
      </c>
      <c r="AU13" s="3" t="n">
        <v>0.0419774419228984</v>
      </c>
      <c r="AV13" s="0" t="n">
        <v>0.422468730726093</v>
      </c>
      <c r="AW13" s="0" t="n">
        <v>0.000154019613207667</v>
      </c>
      <c r="AZ13" s="0" t="n">
        <v>0.17771380206924</v>
      </c>
      <c r="BA13" s="0" t="n">
        <v>0.15531380206924</v>
      </c>
      <c r="BC13" s="0" t="n">
        <v>0.18211810394018</v>
      </c>
      <c r="BD13" s="0" t="n">
        <f aca="false">BC13-0.0224</f>
        <v>0.15971810394018</v>
      </c>
      <c r="BE13" s="0" t="n">
        <v>0.0873866139365679</v>
      </c>
      <c r="BF13" s="3" t="n">
        <v>0.0425866139365679</v>
      </c>
      <c r="BG13" s="0" t="n">
        <v>0.0371572770208812</v>
      </c>
      <c r="BH13" s="0" t="n">
        <f aca="false">M13/BG13</f>
        <v>0.727951038057334</v>
      </c>
      <c r="BI13" s="0" t="n">
        <v>2.44382118542668E-005</v>
      </c>
      <c r="BJ13" s="0" t="n">
        <v>0.488265700309684</v>
      </c>
      <c r="BK13" s="0" t="n">
        <v>0</v>
      </c>
      <c r="BL13" s="0" t="n">
        <v>0</v>
      </c>
      <c r="BM13" s="0" t="n">
        <v>0</v>
      </c>
      <c r="BN13" s="0" t="e">
        <f aca="false">#REF!/#REF!</f>
        <v>#REF!</v>
      </c>
      <c r="BO13" s="0" t="n">
        <v>0.0610195204584</v>
      </c>
    </row>
    <row r="14" customFormat="false" ht="12.8" hidden="false" customHeight="false" outlineLevel="0" collapsed="false">
      <c r="A14" s="0" t="s">
        <v>67</v>
      </c>
      <c r="B14" s="0" t="s">
        <v>50</v>
      </c>
      <c r="C14" s="0" t="s">
        <v>51</v>
      </c>
      <c r="D14" s="0" t="s">
        <v>52</v>
      </c>
      <c r="E14" s="10" t="n">
        <v>0.3623</v>
      </c>
      <c r="F14" s="0" t="n">
        <v>3.696</v>
      </c>
      <c r="G14" s="0" t="n">
        <v>646</v>
      </c>
      <c r="H14" s="0" t="n">
        <v>604</v>
      </c>
      <c r="I14" s="0" t="s">
        <v>55</v>
      </c>
      <c r="J14" s="0" t="n">
        <v>0.0540968068</v>
      </c>
      <c r="K14" s="0" t="n">
        <v>0.1959588</v>
      </c>
      <c r="L14" s="0" t="n">
        <v>0.042218313003794</v>
      </c>
      <c r="M14" s="1" t="n">
        <v>0.0269693564199928</v>
      </c>
      <c r="N14" s="0" t="n">
        <v>0.25229534278211</v>
      </c>
      <c r="O14" s="0" t="n">
        <v>0.293152658246361</v>
      </c>
      <c r="P14" s="0" t="n">
        <v>0.219161659453156</v>
      </c>
      <c r="Q14" s="0" t="n">
        <v>0.257745724112432</v>
      </c>
      <c r="R14" s="11" t="n">
        <v>0.19548970861</v>
      </c>
      <c r="S14" s="0" t="n">
        <v>0.153278430544291</v>
      </c>
      <c r="T14" s="0" t="n">
        <v>0.000111785087002333</v>
      </c>
      <c r="U14" s="0" t="n">
        <v>0.000166119123669</v>
      </c>
      <c r="V14" s="0" t="n">
        <v>0.000177332062143333</v>
      </c>
      <c r="Z14" s="1"/>
      <c r="AA14" s="1"/>
      <c r="AB14" s="11"/>
      <c r="AJ14" s="0" t="n">
        <v>1.18052814500825</v>
      </c>
      <c r="AK14" s="0" t="n">
        <v>0.000234332801735</v>
      </c>
      <c r="AL14" s="0" t="n">
        <f aca="false">AK14-0.0000543340366666667</f>
        <v>0.000179998765068333</v>
      </c>
      <c r="AM14" s="0" t="n">
        <v>0.827539160744426</v>
      </c>
      <c r="AN14" s="0" t="n">
        <v>1.21644780609315E-022</v>
      </c>
      <c r="AO14" s="0" t="n">
        <v>0.000111619102452833</v>
      </c>
      <c r="AP14" s="0" t="n">
        <v>1.16008369671977</v>
      </c>
      <c r="AQ14" s="0" t="n">
        <v>0.00023166609881</v>
      </c>
      <c r="AR14" s="0" t="n">
        <f aca="false">AQ14-0.0000543340366666667</f>
        <v>0.000177332062143333</v>
      </c>
      <c r="AS14" s="0" t="n">
        <v>0.735311905552747</v>
      </c>
      <c r="AT14" s="0" t="n">
        <v>2.57153119417394E-020</v>
      </c>
      <c r="AU14" s="3" t="n">
        <v>0.088972224194025</v>
      </c>
      <c r="AV14" s="0" t="n">
        <v>0.00836810061434316</v>
      </c>
      <c r="AW14" s="0" t="n">
        <v>0.000177125780858333</v>
      </c>
      <c r="AZ14" s="0" t="n">
        <v>0.341286765807124</v>
      </c>
      <c r="BA14" s="0" t="n">
        <v>0.317786765807124</v>
      </c>
      <c r="BC14" s="0" t="n">
        <v>0.242661659453156</v>
      </c>
      <c r="BD14" s="0" t="n">
        <f aca="false">BC14-0.0235</f>
        <v>0.219161659453156</v>
      </c>
      <c r="BE14" s="0" t="n">
        <v>0.145251930567691</v>
      </c>
      <c r="BF14" s="3" t="n">
        <v>0.098251930567691</v>
      </c>
      <c r="BG14" s="0" t="n">
        <v>0.0366922671244386</v>
      </c>
      <c r="BH14" s="0" t="n">
        <f aca="false">M14/BG14</f>
        <v>0.735014719273917</v>
      </c>
      <c r="BI14" s="0" t="n">
        <v>5.32345962987423E-018</v>
      </c>
      <c r="BJ14" s="0" t="n">
        <v>0.575688484559402</v>
      </c>
      <c r="BK14" s="0" t="n">
        <v>0.313130530895517</v>
      </c>
      <c r="BL14" s="0" t="n">
        <v>0.356621935314026</v>
      </c>
      <c r="BM14" s="0" t="n">
        <v>0.333121935314026</v>
      </c>
      <c r="BN14" s="0" t="e">
        <f aca="false">#REF!/#REF!</f>
        <v>#REF!</v>
      </c>
      <c r="BO14" s="0" t="n">
        <v>0.18390010822</v>
      </c>
    </row>
    <row r="15" customFormat="false" ht="12.8" hidden="false" customHeight="false" outlineLevel="0" collapsed="false">
      <c r="A15" s="0" t="s">
        <v>68</v>
      </c>
      <c r="B15" s="0" t="s">
        <v>50</v>
      </c>
      <c r="C15" s="0" t="s">
        <v>59</v>
      </c>
      <c r="D15" s="0" t="s">
        <v>52</v>
      </c>
      <c r="E15" s="10" t="n">
        <v>0.14465</v>
      </c>
      <c r="F15" s="0" t="n">
        <v>1.602</v>
      </c>
      <c r="G15" s="0" t="n">
        <v>323</v>
      </c>
      <c r="H15" s="0" t="n">
        <v>284</v>
      </c>
      <c r="I15" s="0" t="s">
        <v>53</v>
      </c>
      <c r="J15" s="0" t="n">
        <v>0</v>
      </c>
      <c r="K15" s="0" t="n">
        <v>0.060843</v>
      </c>
      <c r="L15" s="0" t="n">
        <v>0.0160289755198599</v>
      </c>
      <c r="M15" s="1" t="n">
        <v>0.0234145835837936</v>
      </c>
      <c r="N15" s="0" t="n">
        <v>0.276462541924416</v>
      </c>
      <c r="O15" s="0" t="n">
        <v>0.191943703621306</v>
      </c>
      <c r="P15" s="0" t="n">
        <v>0.155034455168087</v>
      </c>
      <c r="Q15" s="0" t="n">
        <v>0.275924369877732</v>
      </c>
      <c r="R15" s="11" t="n">
        <v>0.0697790638056</v>
      </c>
      <c r="S15" s="0" t="n">
        <v>0.053743624062894</v>
      </c>
      <c r="T15" s="0" t="n">
        <v>8.43025543766667E-005</v>
      </c>
      <c r="U15" s="0" t="n">
        <v>0.00013135827619</v>
      </c>
      <c r="V15" s="0" t="n">
        <v>0.000111214672544667</v>
      </c>
      <c r="Z15" s="1"/>
      <c r="AA15" s="1"/>
      <c r="AB15" s="11"/>
      <c r="AJ15" s="0" t="n">
        <v>2.00545595706666</v>
      </c>
      <c r="AK15" s="0" t="n">
        <v>0.000158270394358</v>
      </c>
      <c r="AL15" s="0" t="n">
        <f aca="false">AK15-0.0000470557218133333</f>
        <v>0.000111214672544667</v>
      </c>
      <c r="AM15" s="0" t="n">
        <v>0.849198037612253</v>
      </c>
      <c r="AN15" s="0" t="n">
        <v>0.00026434572881304</v>
      </c>
      <c r="AO15" s="0" t="n">
        <v>8.43025543766667E-005</v>
      </c>
      <c r="AP15" s="0" t="n">
        <v>2.00545595706666</v>
      </c>
      <c r="AQ15" s="0" t="n">
        <v>0.000158270394358</v>
      </c>
      <c r="AR15" s="0" t="n">
        <f aca="false">AQ15-0.0000470557218133333</f>
        <v>0.000111214672544667</v>
      </c>
      <c r="AS15" s="0" t="n">
        <v>0.849198037612253</v>
      </c>
      <c r="AT15" s="0" t="n">
        <v>0.000528691457626079</v>
      </c>
      <c r="AU15" s="3" t="n">
        <v>0.0532626634231176</v>
      </c>
      <c r="AV15" s="0" t="n">
        <v>0.0400957932308718</v>
      </c>
      <c r="AW15" s="0" t="n">
        <v>0.000140838429764667</v>
      </c>
      <c r="AZ15" s="0" t="n">
        <v>0.3268927325609</v>
      </c>
      <c r="BA15" s="0" t="n">
        <v>0.3044927325609</v>
      </c>
      <c r="BC15" s="0" t="n">
        <v>0.177434455168087</v>
      </c>
      <c r="BD15" s="0" t="n">
        <f aca="false">BC15-0.0224</f>
        <v>0.155034455168087</v>
      </c>
      <c r="BE15" s="0" t="n">
        <v>0.10221267037911</v>
      </c>
      <c r="BF15" s="3" t="n">
        <v>0.05741267037911</v>
      </c>
      <c r="BG15" s="0" t="n">
        <v>0.0303950455350486</v>
      </c>
      <c r="BH15" s="0" t="n">
        <f aca="false">M15/BG15</f>
        <v>0.770342112394409</v>
      </c>
      <c r="BI15" s="0" t="n">
        <v>3.44857062866165E-005</v>
      </c>
      <c r="BJ15" s="0" t="n">
        <v>0.586809313360681</v>
      </c>
      <c r="BK15" s="0" t="n">
        <v>0</v>
      </c>
      <c r="BL15" s="0" t="n">
        <v>0</v>
      </c>
      <c r="BM15" s="0" t="n">
        <v>0</v>
      </c>
      <c r="BN15" s="0" t="e">
        <f aca="false">#REF!/#REF!</f>
        <v>#REF!</v>
      </c>
      <c r="BO15" s="0" t="n">
        <v>0.0586445755816</v>
      </c>
    </row>
    <row r="16" customFormat="false" ht="12.8" hidden="false" customHeight="false" outlineLevel="0" collapsed="false">
      <c r="A16" s="0" t="s">
        <v>69</v>
      </c>
      <c r="B16" s="0" t="s">
        <v>50</v>
      </c>
      <c r="C16" s="0" t="s">
        <v>59</v>
      </c>
      <c r="D16" s="0" t="s">
        <v>52</v>
      </c>
      <c r="E16" s="10" t="n">
        <v>0.0853075</v>
      </c>
      <c r="F16" s="0" t="n">
        <v>1.222</v>
      </c>
      <c r="G16" s="0" t="n">
        <v>119</v>
      </c>
      <c r="H16" s="0" t="n">
        <v>92</v>
      </c>
      <c r="I16" s="0" t="s">
        <v>53</v>
      </c>
      <c r="J16" s="0" t="n">
        <v>0</v>
      </c>
      <c r="K16" s="0" t="n">
        <v>0.04258</v>
      </c>
      <c r="L16" s="0" t="n">
        <v>0.00581104588786221</v>
      </c>
      <c r="M16" s="1" t="n">
        <v>0.0286515480038366</v>
      </c>
      <c r="N16" s="0" t="n">
        <v>0.16730952977179</v>
      </c>
      <c r="O16" s="0" t="n">
        <v>0.14785815417723</v>
      </c>
      <c r="P16" s="0" t="n">
        <v>0.105686083040811</v>
      </c>
      <c r="Q16" s="0" t="n">
        <v>0.177092882392621</v>
      </c>
      <c r="R16" s="11" t="n">
        <v>0.0305647544072</v>
      </c>
      <c r="S16" s="0" t="n">
        <v>0.0247619958479487</v>
      </c>
      <c r="T16" s="0" t="n">
        <v>8.48132468996667E-005</v>
      </c>
      <c r="U16" s="0" t="n">
        <v>0.000131868968713</v>
      </c>
      <c r="V16" s="0" t="n">
        <v>0.000166895756997667</v>
      </c>
      <c r="Z16" s="1"/>
      <c r="AA16" s="1"/>
      <c r="AB16" s="11"/>
      <c r="AJ16" s="0" t="n">
        <v>2.14343131419383</v>
      </c>
      <c r="AK16" s="0" t="n">
        <v>0.000213951478811</v>
      </c>
      <c r="AL16" s="0" t="n">
        <f aca="false">AK16-0.0000470557218133333</f>
        <v>0.000166895756997667</v>
      </c>
      <c r="AM16" s="0" t="n">
        <v>0.20349447181469</v>
      </c>
      <c r="AN16" s="0" t="n">
        <v>0.00199382899730541</v>
      </c>
      <c r="AO16" s="0" t="n">
        <v>8.48132468996667E-005</v>
      </c>
      <c r="AP16" s="0" t="n">
        <v>2.14343131419383</v>
      </c>
      <c r="AQ16" s="0" t="n">
        <v>0.000213951478811</v>
      </c>
      <c r="AR16" s="0" t="n">
        <f aca="false">AQ16-0.0000470557218133333</f>
        <v>0.000166895756997667</v>
      </c>
      <c r="AS16" s="0" t="n">
        <v>0.20349447181469</v>
      </c>
      <c r="AT16" s="0" t="n">
        <v>0.00398765799461082</v>
      </c>
      <c r="AU16" s="3" t="n">
        <v>0.0331877356220863</v>
      </c>
      <c r="AV16" s="0" t="n">
        <v>0.249248903050371</v>
      </c>
      <c r="AW16" s="0" t="n">
        <v>0.000140574105702667</v>
      </c>
      <c r="AZ16" s="0" t="n">
        <v>0.239891396814761</v>
      </c>
      <c r="BA16" s="0" t="n">
        <v>0.217491396814761</v>
      </c>
      <c r="BC16" s="0" t="n">
        <v>0.128086083040811</v>
      </c>
      <c r="BD16" s="0" t="n">
        <f aca="false">BC16-0.0224</f>
        <v>0.105686083040811</v>
      </c>
      <c r="BE16" s="0" t="n">
        <v>0.0761429006650432</v>
      </c>
      <c r="BF16" s="3" t="n">
        <v>0.0313429006650432</v>
      </c>
      <c r="BG16" s="0" t="n">
        <v>0.0416307134987039</v>
      </c>
      <c r="BH16" s="0" t="n">
        <f aca="false">M16/BG16</f>
        <v>0.688231010134588</v>
      </c>
      <c r="BI16" s="0" t="n">
        <v>0.00154743333178858</v>
      </c>
      <c r="BJ16" s="0" t="n">
        <v>0.632070916239046</v>
      </c>
      <c r="BK16" s="0" t="n">
        <v>0</v>
      </c>
      <c r="BL16" s="0" t="n">
        <v>0</v>
      </c>
      <c r="BM16" s="0" t="n">
        <v>0</v>
      </c>
      <c r="BN16" s="0" t="e">
        <f aca="false">#REF!/#REF!</f>
        <v>#REF!</v>
      </c>
      <c r="BO16" s="0" t="n">
        <v>0.0257948967136</v>
      </c>
    </row>
    <row r="17" customFormat="false" ht="12.8" hidden="false" customHeight="false" outlineLevel="0" collapsed="false">
      <c r="A17" s="0" t="s">
        <v>70</v>
      </c>
      <c r="B17" s="0" t="s">
        <v>50</v>
      </c>
      <c r="C17" s="0" t="s">
        <v>51</v>
      </c>
      <c r="D17" s="0" t="s">
        <v>52</v>
      </c>
      <c r="E17" s="10" t="n">
        <v>0.34935</v>
      </c>
      <c r="F17" s="0" t="n">
        <v>3.273</v>
      </c>
      <c r="G17" s="0" t="n">
        <v>533</v>
      </c>
      <c r="H17" s="0" t="n">
        <v>480</v>
      </c>
      <c r="I17" s="0" t="s">
        <v>55</v>
      </c>
      <c r="J17" s="0" t="n">
        <v>0.0179405045</v>
      </c>
      <c r="K17" s="0" t="n">
        <v>0.228539</v>
      </c>
      <c r="L17" s="0" t="n">
        <v>0.0313742776323291</v>
      </c>
      <c r="M17" s="1" t="n">
        <v>0.0255252519190886</v>
      </c>
      <c r="N17" s="0" t="n">
        <v>0.237295640885039</v>
      </c>
      <c r="O17" s="0" t="n">
        <v>0.257278736503257</v>
      </c>
      <c r="P17" s="0" t="n">
        <v>0.202629583572972</v>
      </c>
      <c r="Q17" s="0" t="n">
        <v>0.299321850953912</v>
      </c>
      <c r="R17" s="11" t="n">
        <v>0.200674644985</v>
      </c>
      <c r="S17" s="0" t="n">
        <v>0.169291533410904</v>
      </c>
      <c r="T17" s="0" t="n">
        <v>0.000111305899762833</v>
      </c>
      <c r="U17" s="0" t="n">
        <v>0.0001656399364295</v>
      </c>
      <c r="V17" s="0" t="n">
        <v>0.000250851583378333</v>
      </c>
      <c r="Z17" s="1"/>
      <c r="AA17" s="1"/>
      <c r="AB17" s="11"/>
      <c r="AJ17" s="0" t="n">
        <v>7.2664916059528</v>
      </c>
      <c r="AK17" s="0" t="n">
        <v>0.000315887710257</v>
      </c>
      <c r="AL17" s="0" t="n">
        <f aca="false">AK17-0.0000543340366666667</f>
        <v>0.000261553673590333</v>
      </c>
      <c r="AM17" s="0" t="n">
        <v>0.882814528488268</v>
      </c>
      <c r="AN17" s="0" t="n">
        <v>3.66085342704413E-035</v>
      </c>
      <c r="AO17" s="0" t="n">
        <v>0.000111305899762833</v>
      </c>
      <c r="AP17" s="0" t="n">
        <v>7.2664916059528</v>
      </c>
      <c r="AQ17" s="0" t="n">
        <v>0.000305185620045</v>
      </c>
      <c r="AR17" s="0" t="n">
        <f aca="false">AQ17-0.0000543340366666667</f>
        <v>0.000250851583378333</v>
      </c>
      <c r="AS17" s="0" t="n">
        <v>0.949247261292584</v>
      </c>
      <c r="AT17" s="0" t="n">
        <v>1.21714921738634E-032</v>
      </c>
      <c r="AU17" s="3" t="n">
        <v>0.078576257554555</v>
      </c>
      <c r="AV17" s="0" t="n">
        <v>0.423618855682643</v>
      </c>
      <c r="AW17" s="0" t="n">
        <v>0.000134020003590333</v>
      </c>
      <c r="AZ17" s="0" t="n">
        <v>0.241430843674127</v>
      </c>
      <c r="BA17" s="0" t="n">
        <v>0.217930843674127</v>
      </c>
      <c r="BC17" s="0" t="n">
        <v>0.226129583572972</v>
      </c>
      <c r="BD17" s="0" t="n">
        <f aca="false">BC17-0.0235</f>
        <v>0.202629583572972</v>
      </c>
      <c r="BE17" s="0" t="n">
        <v>0.125952274500097</v>
      </c>
      <c r="BF17" s="3" t="n">
        <v>0.078952274500097</v>
      </c>
      <c r="BG17" s="0" t="n">
        <v>0.0452150521372056</v>
      </c>
      <c r="BH17" s="0" t="n">
        <f aca="false">M17/BG17</f>
        <v>0.564529967622993</v>
      </c>
      <c r="BI17" s="0" t="n">
        <v>2.38084669902354E-030</v>
      </c>
      <c r="BJ17" s="0" t="n">
        <v>0.615362462852438</v>
      </c>
      <c r="BK17" s="0" t="n">
        <v>0.207951218522966</v>
      </c>
      <c r="BL17" s="0" t="n">
        <v>0.258005223287976</v>
      </c>
      <c r="BM17" s="0" t="n">
        <v>0.234505223287976</v>
      </c>
      <c r="BN17" s="0" t="e">
        <f aca="false">#REF!/#REF!</f>
        <v>#REF!</v>
      </c>
      <c r="BO17" s="0" t="n">
        <v>0.1963138013</v>
      </c>
    </row>
    <row r="18" customFormat="false" ht="12.8" hidden="false" customHeight="false" outlineLevel="0" collapsed="false">
      <c r="A18" s="0" t="s">
        <v>71</v>
      </c>
      <c r="B18" s="0" t="s">
        <v>50</v>
      </c>
      <c r="C18" s="0" t="s">
        <v>59</v>
      </c>
      <c r="D18" s="0" t="s">
        <v>52</v>
      </c>
      <c r="E18" s="10" t="n">
        <v>0.141875</v>
      </c>
      <c r="F18" s="0" t="n">
        <v>1.66025</v>
      </c>
      <c r="G18" s="0" t="n">
        <v>262</v>
      </c>
      <c r="H18" s="0" t="n">
        <v>223</v>
      </c>
      <c r="I18" s="0" t="s">
        <v>53</v>
      </c>
      <c r="J18" s="0" t="n">
        <v>0</v>
      </c>
      <c r="K18" s="0" t="n">
        <v>0.049059</v>
      </c>
      <c r="L18" s="0" t="n">
        <v>0.0128055163611456</v>
      </c>
      <c r="M18" s="1" t="n">
        <v>0.0313773578763397</v>
      </c>
      <c r="N18" s="0" t="n">
        <v>0.288596340465051</v>
      </c>
      <c r="O18" s="0" t="n">
        <v>0.201294572014189</v>
      </c>
      <c r="P18" s="0" t="n">
        <v>0.157791508864987</v>
      </c>
      <c r="Q18" s="0" t="n">
        <v>0.283912455564657</v>
      </c>
      <c r="R18" s="11" t="n">
        <v>0.073746762268</v>
      </c>
      <c r="S18" s="0" t="n">
        <v>0.0609378547109888</v>
      </c>
      <c r="T18" s="0" t="n">
        <v>0.000134285473875667</v>
      </c>
      <c r="U18" s="0" t="n">
        <v>0.000181341195689</v>
      </c>
      <c r="V18" s="0" t="n">
        <v>0.000185276894848167</v>
      </c>
      <c r="Z18" s="1"/>
      <c r="AA18" s="1"/>
      <c r="AB18" s="11"/>
      <c r="AJ18" s="0" t="n">
        <v>2.67071075171268</v>
      </c>
      <c r="AK18" s="0" t="n">
        <v>0.0002323326166615</v>
      </c>
      <c r="AL18" s="0" t="n">
        <f aca="false">AK18-0.0000470557218133333</f>
        <v>0.000185276894848167</v>
      </c>
      <c r="AM18" s="0" t="n">
        <v>0.134281083811991</v>
      </c>
      <c r="AN18" s="0" t="n">
        <v>0.000102743148876301</v>
      </c>
      <c r="AO18" s="0" t="n">
        <v>0.000134285473875667</v>
      </c>
      <c r="AP18" s="0" t="n">
        <v>2.67071075171268</v>
      </c>
      <c r="AQ18" s="0" t="n">
        <v>0.0002323326166615</v>
      </c>
      <c r="AR18" s="0" t="n">
        <f aca="false">AQ18-0.0000470557218133333</f>
        <v>0.000185276894848167</v>
      </c>
      <c r="AS18" s="0" t="n">
        <v>0.134281083811991</v>
      </c>
      <c r="AT18" s="0" t="n">
        <v>0.000205486297752601</v>
      </c>
      <c r="AU18" s="3" t="n">
        <v>0.0484717509599524</v>
      </c>
      <c r="AV18" s="0" t="n">
        <v>0.0313139514068011</v>
      </c>
      <c r="AW18" s="0" t="n">
        <v>0.000178809827449167</v>
      </c>
      <c r="AZ18" s="0" t="n">
        <v>0.373090949738902</v>
      </c>
      <c r="BA18" s="0" t="n">
        <v>0.350690949738902</v>
      </c>
      <c r="BC18" s="0" t="n">
        <v>0.180191508864987</v>
      </c>
      <c r="BD18" s="0" t="n">
        <f aca="false">BC18-0.0224</f>
        <v>0.157791508864987</v>
      </c>
      <c r="BE18" s="0" t="n">
        <v>0.106376005977941</v>
      </c>
      <c r="BF18" s="3" t="n">
        <v>0.061576005977941</v>
      </c>
      <c r="BG18" s="0" t="n">
        <v>0.0397975341009815</v>
      </c>
      <c r="BH18" s="0" t="n">
        <f aca="false">M18/BG18</f>
        <v>0.788424674672641</v>
      </c>
      <c r="BI18" s="0" t="n">
        <v>6.08115715217897E-005</v>
      </c>
      <c r="BJ18" s="0" t="n">
        <v>0.578390102934995</v>
      </c>
      <c r="BK18" s="0" t="n">
        <v>0</v>
      </c>
      <c r="BL18" s="0" t="n">
        <v>0</v>
      </c>
      <c r="BM18" s="0" t="n">
        <v>0</v>
      </c>
      <c r="BN18" s="0" t="e">
        <f aca="false">#REF!/#REF!</f>
        <v>#REF!</v>
      </c>
      <c r="BO18" s="0" t="n">
        <v>0.06989348184</v>
      </c>
    </row>
    <row r="19" customFormat="false" ht="12.8" hidden="false" customHeight="false" outlineLevel="0" collapsed="false">
      <c r="A19" s="0" t="s">
        <v>72</v>
      </c>
      <c r="B19" s="0" t="s">
        <v>50</v>
      </c>
      <c r="C19" s="0" t="s">
        <v>51</v>
      </c>
      <c r="D19" s="0" t="s">
        <v>52</v>
      </c>
      <c r="E19" s="10" t="n">
        <v>0.411125</v>
      </c>
      <c r="F19" s="0" t="n">
        <v>4.105</v>
      </c>
      <c r="G19" s="0" t="n">
        <v>344</v>
      </c>
      <c r="H19" s="0" t="n">
        <v>296</v>
      </c>
      <c r="I19" s="0" t="s">
        <v>55</v>
      </c>
      <c r="J19" s="0" t="n">
        <v>0.0934001841</v>
      </c>
      <c r="K19" s="0" t="n">
        <v>0.0865953</v>
      </c>
      <c r="L19" s="0" t="n">
        <v>0.0195653251950171</v>
      </c>
      <c r="M19" s="1" t="n">
        <v>0.0296461006364367</v>
      </c>
      <c r="N19" s="0" t="n">
        <v>0.25335610185135</v>
      </c>
      <c r="O19" s="0" t="n">
        <v>0.225438114457694</v>
      </c>
      <c r="P19" s="0" t="n">
        <v>0.173738673911209</v>
      </c>
      <c r="Q19" s="0" t="n">
        <v>0.289736230128856</v>
      </c>
      <c r="R19" s="11" t="n">
        <v>0.105479435795</v>
      </c>
      <c r="S19" s="0" t="n">
        <v>0.0859090137173657</v>
      </c>
      <c r="T19" s="0" t="n">
        <v>0.000113853709085833</v>
      </c>
      <c r="U19" s="0" t="n">
        <v>0.0001681877457525</v>
      </c>
      <c r="V19" s="0" t="n">
        <v>0.000165686590869333</v>
      </c>
      <c r="Z19" s="1"/>
      <c r="AA19" s="1"/>
      <c r="AB19" s="11"/>
      <c r="AJ19" s="0" t="n">
        <v>3.79898946667418</v>
      </c>
      <c r="AK19" s="0" t="n">
        <v>0.000220020627536</v>
      </c>
      <c r="AL19" s="0" t="n">
        <f aca="false">AK19-0.0000543340366666667</f>
        <v>0.000165686590869333</v>
      </c>
      <c r="AM19" s="0" t="n">
        <v>1.28571194925544</v>
      </c>
      <c r="AN19" s="0" t="n">
        <v>8.62364780308841E-006</v>
      </c>
      <c r="AO19" s="0" t="n">
        <v>0.000115081531552333</v>
      </c>
      <c r="AP19" s="0" t="n">
        <v>3.7008518831279</v>
      </c>
      <c r="AQ19" s="0" t="n">
        <v>0.000220020627536</v>
      </c>
      <c r="AR19" s="0" t="n">
        <f aca="false">AQ19-0.0000543340366666667</f>
        <v>0.000165686590869333</v>
      </c>
      <c r="AS19" s="0" t="n">
        <v>1.28571194925544</v>
      </c>
      <c r="AT19" s="0" t="n">
        <v>3.17895120632297E-005</v>
      </c>
      <c r="AU19" s="3" t="n">
        <v>0.058396071591192</v>
      </c>
      <c r="AV19" s="0" t="n">
        <v>0.111420644020897</v>
      </c>
      <c r="AW19" s="0" t="n">
        <v>0.000189720424839333</v>
      </c>
      <c r="AZ19" s="0" t="n">
        <v>0.200440070091178</v>
      </c>
      <c r="BA19" s="0" t="n">
        <v>0.176940070091178</v>
      </c>
      <c r="BC19" s="0" t="n">
        <v>0.197238673911209</v>
      </c>
      <c r="BD19" s="0" t="n">
        <f aca="false">BC19-0.0235</f>
        <v>0.173738673911209</v>
      </c>
      <c r="BE19" s="0" t="n">
        <v>0.107631878781976</v>
      </c>
      <c r="BF19" s="3" t="n">
        <v>0.060631878781976</v>
      </c>
      <c r="BG19" s="0" t="n">
        <v>0.0394289107211007</v>
      </c>
      <c r="BH19" s="0" t="n">
        <f aca="false">M19/BG19</f>
        <v>0.751887386545816</v>
      </c>
      <c r="BI19" s="0" t="n">
        <v>1.41166322975297E-006</v>
      </c>
      <c r="BJ19" s="0" t="n">
        <v>0.565952364725083</v>
      </c>
      <c r="BK19" s="0" t="n">
        <v>0.230790149708354</v>
      </c>
      <c r="BL19" s="0" t="n">
        <v>0.259751877276464</v>
      </c>
      <c r="BM19" s="0" t="n">
        <v>0.236251877276464</v>
      </c>
      <c r="BN19" s="0" t="e">
        <f aca="false">#REF!/#REF!</f>
        <v>#REF!</v>
      </c>
      <c r="BO19" s="0" t="n">
        <v>0.10057857933</v>
      </c>
    </row>
    <row r="20" customFormat="false" ht="12.8" hidden="false" customHeight="false" outlineLevel="0" collapsed="false">
      <c r="A20" s="0" t="s">
        <v>73</v>
      </c>
      <c r="B20" s="0" t="s">
        <v>50</v>
      </c>
      <c r="C20" s="0" t="s">
        <v>59</v>
      </c>
      <c r="D20" s="0" t="s">
        <v>52</v>
      </c>
      <c r="E20" s="10" t="n">
        <v>0.2275</v>
      </c>
      <c r="F20" s="0" t="n">
        <v>2.3465</v>
      </c>
      <c r="G20" s="0" t="n">
        <v>482</v>
      </c>
      <c r="H20" s="0" t="n">
        <v>428</v>
      </c>
      <c r="I20" s="0" t="s">
        <v>55</v>
      </c>
      <c r="J20" s="0" t="n">
        <v>0</v>
      </c>
      <c r="K20" s="0" t="n">
        <v>0.1546804</v>
      </c>
      <c r="L20" s="0" t="n">
        <v>0.0239405441730069</v>
      </c>
      <c r="M20" s="1" t="n">
        <v>0.0269560904564968</v>
      </c>
      <c r="N20" s="0" t="n">
        <v>0.258803592488024</v>
      </c>
      <c r="O20" s="0" t="n">
        <v>0.251400529946074</v>
      </c>
      <c r="P20" s="0" t="n">
        <v>0.196790365319781</v>
      </c>
      <c r="Q20" s="0" t="n">
        <v>0.281457404086169</v>
      </c>
      <c r="R20" s="11" t="n">
        <v>0.13112895516</v>
      </c>
      <c r="S20" s="0" t="n">
        <v>0.107197749534365</v>
      </c>
      <c r="T20" s="0" t="n">
        <v>0.000109308463365667</v>
      </c>
      <c r="U20" s="0" t="n">
        <v>0.000156364185179</v>
      </c>
      <c r="V20" s="0" t="n">
        <v>0.000177425259118167</v>
      </c>
      <c r="Z20" s="1"/>
      <c r="AA20" s="1"/>
      <c r="AB20" s="11"/>
      <c r="AJ20" s="0" t="n">
        <v>2.62390895568526</v>
      </c>
      <c r="AK20" s="0" t="n">
        <v>0.00022605077339</v>
      </c>
      <c r="AL20" s="0" t="n">
        <f aca="false">AK20-0.0000470557218133333</f>
        <v>0.000178995051576667</v>
      </c>
      <c r="AM20" s="0" t="n">
        <v>0.782965341668814</v>
      </c>
      <c r="AN20" s="0" t="n">
        <v>1.5605076E-013</v>
      </c>
      <c r="AO20" s="0" t="n">
        <v>0.000109308463365667</v>
      </c>
      <c r="AP20" s="0" t="n">
        <v>2.62390895568526</v>
      </c>
      <c r="AQ20" s="0" t="n">
        <v>0.0002244809809315</v>
      </c>
      <c r="AR20" s="0" t="n">
        <f aca="false">AQ20-0.0000470557218133333</f>
        <v>0.000177425259118167</v>
      </c>
      <c r="AS20" s="0" t="n">
        <v>0.804843167208126</v>
      </c>
      <c r="AT20" s="0" t="n">
        <v>6.0168988E-013</v>
      </c>
      <c r="AU20" s="3" t="n">
        <v>0.065690471971864</v>
      </c>
      <c r="AV20" s="0" t="n">
        <v>0.292377100054258</v>
      </c>
      <c r="AW20" s="0" t="n">
        <v>0.000152414897848667</v>
      </c>
      <c r="AZ20" s="0" t="n">
        <v>0.282105125999405</v>
      </c>
      <c r="BA20" s="0" t="n">
        <v>0.259705125999405</v>
      </c>
      <c r="BC20" s="0" t="n">
        <v>0.219190365319781</v>
      </c>
      <c r="BD20" s="0" t="n">
        <f aca="false">BC20-0.0224</f>
        <v>0.196790365319781</v>
      </c>
      <c r="BE20" s="0" t="n">
        <v>0.106248290109081</v>
      </c>
      <c r="BF20" s="3" t="n">
        <v>0.061448290109081</v>
      </c>
      <c r="BG20" s="0" t="n">
        <v>0.0380184273940894</v>
      </c>
      <c r="BH20" s="0" t="n">
        <f aca="false">M20/BG20</f>
        <v>0.70902697202798</v>
      </c>
      <c r="BI20" s="0" t="n">
        <v>1.00500802E-012</v>
      </c>
      <c r="BJ20" s="0" t="n">
        <v>0.493675314816095</v>
      </c>
      <c r="BK20" s="0" t="n">
        <v>0</v>
      </c>
      <c r="BL20" s="0" t="n">
        <v>0</v>
      </c>
      <c r="BM20" s="0" t="n">
        <v>0</v>
      </c>
      <c r="BN20" s="0" t="e">
        <f aca="false">#REF!/#REF!</f>
        <v>#REF!</v>
      </c>
      <c r="BO20" s="0" t="n">
        <v>0.12767977848</v>
      </c>
    </row>
    <row r="21" customFormat="false" ht="12.8" hidden="false" customHeight="false" outlineLevel="0" collapsed="false">
      <c r="A21" s="0" t="s">
        <v>74</v>
      </c>
      <c r="B21" s="0" t="s">
        <v>50</v>
      </c>
      <c r="C21" s="0" t="s">
        <v>51</v>
      </c>
      <c r="D21" s="0" t="s">
        <v>52</v>
      </c>
      <c r="E21" s="10" t="n">
        <v>0.445925</v>
      </c>
      <c r="F21" s="0" t="n">
        <v>3.84375</v>
      </c>
      <c r="G21" s="0" t="n">
        <v>1119</v>
      </c>
      <c r="H21" s="0" t="n">
        <v>1048</v>
      </c>
      <c r="I21" s="0" t="s">
        <v>55</v>
      </c>
      <c r="J21" s="0" t="n">
        <v>0.0449065752</v>
      </c>
      <c r="K21" s="0" t="n">
        <v>0.320537</v>
      </c>
      <c r="L21" s="0" t="n">
        <v>0.0638355064548341</v>
      </c>
      <c r="M21" s="1" t="n">
        <v>0.0205602228728037</v>
      </c>
      <c r="N21" s="0" t="n">
        <v>0.257729501164158</v>
      </c>
      <c r="O21" s="0" t="n">
        <v>0.337911264226475</v>
      </c>
      <c r="P21" s="0" t="n">
        <v>0.280854830696102</v>
      </c>
      <c r="Q21" s="0" t="n">
        <v>0.30521010716331</v>
      </c>
      <c r="R21" s="11" t="n">
        <v>0.28264041999</v>
      </c>
      <c r="S21" s="0" t="n">
        <v>0.218787502388933</v>
      </c>
      <c r="T21" s="0" t="n">
        <v>8.84677313413333E-005</v>
      </c>
      <c r="U21" s="0" t="n">
        <v>0.000142801768008</v>
      </c>
      <c r="V21" s="0" t="n">
        <v>0.000144049165266333</v>
      </c>
      <c r="Z21" s="1"/>
      <c r="AA21" s="1"/>
      <c r="AB21" s="11"/>
      <c r="AJ21" s="0" t="n">
        <v>6.94941898656083</v>
      </c>
      <c r="AK21" s="0" t="n">
        <v>0.000240796734786</v>
      </c>
      <c r="AL21" s="0" t="n">
        <f aca="false">AK21-0.0000543340366666667</f>
        <v>0.000186462698119333</v>
      </c>
      <c r="AM21" s="0" t="n">
        <v>0.825969315822281</v>
      </c>
      <c r="AN21" s="0" t="n">
        <v>5.85865090837622E-070</v>
      </c>
      <c r="AO21" s="0" t="n">
        <v>8.63818150783333E-005</v>
      </c>
      <c r="AP21" s="0" t="n">
        <v>2.76039141865309</v>
      </c>
      <c r="AQ21" s="0" t="n">
        <v>0.000198383201933</v>
      </c>
      <c r="AR21" s="0" t="n">
        <f aca="false">AQ21-0.0000543340366666667</f>
        <v>0.000144049165266333</v>
      </c>
      <c r="AS21" s="0" t="n">
        <v>0.757601748409967</v>
      </c>
      <c r="AT21" s="0" t="n">
        <v>1.13927416348633E-034</v>
      </c>
      <c r="AU21" s="3" t="n">
        <v>0.085169047266501</v>
      </c>
      <c r="AV21" s="0" t="n">
        <v>8.1296949508802E-007</v>
      </c>
      <c r="AW21" s="0" t="n">
        <v>0.000171264056893333</v>
      </c>
      <c r="AZ21" s="0" t="n">
        <v>0.204677976277857</v>
      </c>
      <c r="BA21" s="0" t="n">
        <v>0.181177976277857</v>
      </c>
      <c r="BC21" s="0" t="n">
        <v>0.304354830696102</v>
      </c>
      <c r="BD21" s="0" t="n">
        <f aca="false">BC21-0.0235</f>
        <v>0.280854830696102</v>
      </c>
      <c r="BE21" s="0" t="n">
        <v>0.150559620048833</v>
      </c>
      <c r="BF21" s="3" t="n">
        <v>0.103559620048833</v>
      </c>
      <c r="BG21" s="0" t="n">
        <v>0.0372801169143176</v>
      </c>
      <c r="BH21" s="0" t="n">
        <f aca="false">M21/BG21</f>
        <v>0.551506394683742</v>
      </c>
      <c r="BI21" s="0" t="n">
        <v>2.66081178750284E-059</v>
      </c>
      <c r="BJ21" s="0" t="n">
        <v>0.503249104743967</v>
      </c>
      <c r="BK21" s="0" t="n">
        <v>0.206195086186003</v>
      </c>
      <c r="BL21" s="0" t="n">
        <v>0.234214854276714</v>
      </c>
      <c r="BM21" s="0" t="n">
        <v>0.210714854276714</v>
      </c>
      <c r="BN21" s="0" t="e">
        <f aca="false">#REF!/#REF!</f>
        <v>#REF!</v>
      </c>
      <c r="BO21" s="0" t="n">
        <v>0.26006091254</v>
      </c>
    </row>
    <row r="22" customFormat="false" ht="12.8" hidden="false" customHeight="false" outlineLevel="0" collapsed="false">
      <c r="A22" s="0" t="s">
        <v>75</v>
      </c>
      <c r="B22" s="0" t="s">
        <v>50</v>
      </c>
      <c r="C22" s="0" t="s">
        <v>51</v>
      </c>
      <c r="D22" s="0" t="s">
        <v>52</v>
      </c>
      <c r="E22" s="10" t="n">
        <v>0.089035</v>
      </c>
      <c r="F22" s="0" t="n">
        <v>1.32475</v>
      </c>
      <c r="G22" s="0" t="n">
        <v>138</v>
      </c>
      <c r="H22" s="0" t="n">
        <v>110</v>
      </c>
      <c r="I22" s="2" t="s">
        <v>53</v>
      </c>
      <c r="J22" s="2" t="n">
        <v>0.0139451604</v>
      </c>
      <c r="K22" s="2" t="n">
        <v>0.095778</v>
      </c>
      <c r="L22" s="2" t="n">
        <v>0.00786991550561884</v>
      </c>
      <c r="M22" s="1" t="n">
        <v>0.0476653725897081</v>
      </c>
      <c r="N22" s="0" t="n">
        <v>0.11958314637818</v>
      </c>
      <c r="O22" s="0" t="n">
        <v>0.205976492070082</v>
      </c>
      <c r="P22" s="2" t="n">
        <v>0.158924908136155</v>
      </c>
      <c r="Q22" s="0" t="n">
        <v>0.165256655181019</v>
      </c>
      <c r="R22" s="11" t="n">
        <v>0.0549031148545</v>
      </c>
      <c r="S22" s="0" t="n">
        <v>0.0470347847968245</v>
      </c>
      <c r="T22" s="0" t="n">
        <v>0.000119880721532333</v>
      </c>
      <c r="U22" s="0" t="n">
        <v>0.000174214758199</v>
      </c>
      <c r="V22" s="0" t="n">
        <v>0.000227721814267333</v>
      </c>
      <c r="Z22" s="1"/>
      <c r="AA22" s="1"/>
      <c r="AB22" s="11"/>
      <c r="AJ22" s="0" t="n">
        <v>-0.0747910219882198</v>
      </c>
      <c r="AK22" s="0" t="n">
        <v>0.000447096563986</v>
      </c>
      <c r="AL22" s="0" t="n">
        <f aca="false">AK22-0.0000543340366666667</f>
        <v>0.000392762527319333</v>
      </c>
      <c r="AM22" s="0" t="n">
        <v>1.83945348283099</v>
      </c>
      <c r="AN22" s="0" t="n">
        <v>0.000740393553123505</v>
      </c>
      <c r="AO22" s="0" t="n">
        <v>0.000118525572128833</v>
      </c>
      <c r="AP22" s="0" t="n">
        <v>-0.0253358175983714</v>
      </c>
      <c r="AQ22" s="0" t="n">
        <v>0.000282055850934</v>
      </c>
      <c r="AR22" s="0" t="n">
        <f aca="false">AQ22-0.0000543340366666667</f>
        <v>0.000227721814267333</v>
      </c>
      <c r="AS22" s="0" t="n">
        <v>0.603645116005828</v>
      </c>
      <c r="AT22" s="0" t="n">
        <v>0.0555555555555556</v>
      </c>
      <c r="AU22" s="3" t="n">
        <v>0.0492424275107168</v>
      </c>
      <c r="AV22" s="0" t="n">
        <v>0.156898942724311</v>
      </c>
      <c r="AW22" s="0" t="n">
        <v>0.000119880721532333</v>
      </c>
      <c r="AZ22" s="0" t="n">
        <v>0.155232312190609</v>
      </c>
      <c r="BA22" s="0" t="n">
        <v>0.131732312190609</v>
      </c>
      <c r="BC22" s="0" t="n">
        <v>0.182424908136155</v>
      </c>
      <c r="BD22" s="0" t="n">
        <f aca="false">BC22-0.0235</f>
        <v>0.158924908136155</v>
      </c>
      <c r="BE22" s="0" t="n">
        <v>0.0944964323358217</v>
      </c>
      <c r="BF22" s="3" t="n">
        <v>0.0474964323358217</v>
      </c>
      <c r="BG22" s="0" t="n">
        <v>0.06640779246506</v>
      </c>
      <c r="BH22" s="0" t="n">
        <f aca="false">M22/BG22</f>
        <v>0.717767762191266</v>
      </c>
      <c r="BI22" s="0" t="n">
        <v>8.67490353308306E-005</v>
      </c>
      <c r="BJ22" s="0" t="n">
        <v>0.489626395368392</v>
      </c>
      <c r="BK22" s="0" t="n">
        <v>0.0314852855933391</v>
      </c>
      <c r="BL22" s="0" t="n">
        <v>0.0764977089444831</v>
      </c>
      <c r="BM22" s="0" t="n">
        <v>0.0529977089444831</v>
      </c>
      <c r="BN22" s="0" t="e">
        <f aca="false">#REF!/#REF!</f>
        <v>#REF!</v>
      </c>
      <c r="BO22" s="0" t="n">
        <v>0.0546514465785</v>
      </c>
    </row>
    <row r="23" customFormat="false" ht="12.8" hidden="false" customHeight="false" outlineLevel="0" collapsed="false">
      <c r="A23" s="0" t="s">
        <v>76</v>
      </c>
      <c r="B23" s="0" t="s">
        <v>50</v>
      </c>
      <c r="C23" s="0" t="s">
        <v>51</v>
      </c>
      <c r="D23" s="0" t="s">
        <v>52</v>
      </c>
      <c r="E23" s="10" t="n">
        <v>0.210175</v>
      </c>
      <c r="F23" s="0" t="n">
        <v>2.18425</v>
      </c>
      <c r="G23" s="0" t="n">
        <v>333</v>
      </c>
      <c r="H23" s="0" t="n">
        <v>284</v>
      </c>
      <c r="I23" s="0" t="s">
        <v>55</v>
      </c>
      <c r="J23" s="0" t="n">
        <v>0.0245525446</v>
      </c>
      <c r="K23" s="0" t="n">
        <v>0.1123798</v>
      </c>
      <c r="L23" s="0" t="n">
        <v>0.0189993839282243</v>
      </c>
      <c r="M23" s="1" t="n">
        <v>0.0248612099487516</v>
      </c>
      <c r="N23" s="0" t="n">
        <v>0.176013855282865</v>
      </c>
      <c r="O23" s="0" t="n">
        <v>0.235833120617305</v>
      </c>
      <c r="P23" s="0" t="n">
        <v>0.176023961972919</v>
      </c>
      <c r="Q23" s="0" t="n">
        <v>0.259293774638682</v>
      </c>
      <c r="R23" s="11" t="n">
        <v>0.10782033622</v>
      </c>
      <c r="S23" s="0" t="n">
        <v>0.0888204014898039</v>
      </c>
      <c r="T23" s="0" t="n">
        <v>9.71436479853333E-005</v>
      </c>
      <c r="U23" s="0" t="n">
        <v>0.000151477684652</v>
      </c>
      <c r="V23" s="0" t="n">
        <v>0.000161678627675833</v>
      </c>
      <c r="Z23" s="1"/>
      <c r="AA23" s="1"/>
      <c r="AB23" s="11"/>
      <c r="AJ23" s="0" t="n">
        <v>1.33507081850899</v>
      </c>
      <c r="AK23" s="0" t="n">
        <v>0.0002500038298655</v>
      </c>
      <c r="AL23" s="0" t="n">
        <f aca="false">AK23-0.0000543340366666667</f>
        <v>0.000195669793198833</v>
      </c>
      <c r="AM23" s="0" t="n">
        <v>1.34134085915826</v>
      </c>
      <c r="AN23" s="0" t="n">
        <v>2.86116207E-012</v>
      </c>
      <c r="AO23" s="0" t="n">
        <v>9.71436479853333E-005</v>
      </c>
      <c r="AP23" s="0" t="n">
        <v>1.33507081850899</v>
      </c>
      <c r="AQ23" s="0" t="n">
        <v>0.0002160126643425</v>
      </c>
      <c r="AR23" s="0" t="n">
        <f aca="false">AQ23-0.0000543340366666667</f>
        <v>0.000161678627675833</v>
      </c>
      <c r="AS23" s="0" t="n">
        <v>0.68633378311489</v>
      </c>
      <c r="AT23" s="0" t="n">
        <v>9.7514395802739E-007</v>
      </c>
      <c r="AU23" s="3" t="n">
        <v>0.0447905216747239</v>
      </c>
      <c r="AV23" s="0" t="n">
        <v>0.309133430969479</v>
      </c>
      <c r="AW23" s="0" t="n">
        <v>0.000138175760446333</v>
      </c>
      <c r="AZ23" s="0" t="n">
        <v>0.202426534367666</v>
      </c>
      <c r="BA23" s="0" t="n">
        <v>0.178926534367666</v>
      </c>
      <c r="BC23" s="0" t="n">
        <v>0.199523961972919</v>
      </c>
      <c r="BD23" s="0" t="n">
        <f aca="false">BC23-0.0235</f>
        <v>0.176023961972919</v>
      </c>
      <c r="BE23" s="0" t="n">
        <v>0.0998965061112645</v>
      </c>
      <c r="BF23" s="3" t="n">
        <v>0.0528965061112645</v>
      </c>
      <c r="BG23" s="0" t="n">
        <v>0.0446190360499885</v>
      </c>
      <c r="BH23" s="0" t="n">
        <f aca="false">M23/BG23</f>
        <v>0.557188414400046</v>
      </c>
      <c r="BI23" s="0" t="n">
        <v>2.03339E-014</v>
      </c>
      <c r="BJ23" s="0" t="n">
        <v>0.497639423409213</v>
      </c>
      <c r="BK23" s="0" t="n">
        <v>0.115324782278029</v>
      </c>
      <c r="BL23" s="0" t="n">
        <v>0.176843854933477</v>
      </c>
      <c r="BM23" s="0" t="n">
        <v>0.153343854933477</v>
      </c>
      <c r="BN23" s="0" t="e">
        <f aca="false">#REF!/#REF!</f>
        <v>#REF!</v>
      </c>
      <c r="BO23" s="0" t="n">
        <v>0.09891804063</v>
      </c>
    </row>
    <row r="24" customFormat="false" ht="12.8" hidden="false" customHeight="false" outlineLevel="0" collapsed="false">
      <c r="A24" s="0" t="s">
        <v>77</v>
      </c>
      <c r="B24" s="0" t="s">
        <v>50</v>
      </c>
      <c r="C24" s="0" t="s">
        <v>59</v>
      </c>
      <c r="D24" s="0" t="s">
        <v>52</v>
      </c>
      <c r="E24" s="10" t="n">
        <v>0.0692475</v>
      </c>
      <c r="F24" s="0" t="n">
        <v>1.173</v>
      </c>
      <c r="G24" s="0" t="n">
        <v>112</v>
      </c>
      <c r="H24" s="0" t="n">
        <v>80</v>
      </c>
      <c r="I24" s="0" t="s">
        <v>53</v>
      </c>
      <c r="J24" s="0" t="n">
        <v>0</v>
      </c>
      <c r="K24" s="0" t="n">
        <v>0.02219</v>
      </c>
      <c r="L24" s="0" t="n">
        <v>0.00556050077460265</v>
      </c>
      <c r="M24" s="1" t="n">
        <v>0.0241640893484179</v>
      </c>
      <c r="N24" s="0" t="n">
        <v>0.177345242581095</v>
      </c>
      <c r="O24" s="0" t="n">
        <v>0.137754550902892</v>
      </c>
      <c r="P24" s="0" t="n">
        <v>0.105626753711512</v>
      </c>
      <c r="Q24" s="0" t="n">
        <v>0.181846611588788</v>
      </c>
      <c r="R24" s="11" t="n">
        <v>0.0228298257544</v>
      </c>
      <c r="S24" s="0" t="n">
        <v>0.0172699413317218</v>
      </c>
      <c r="T24" s="0" t="n">
        <v>6.59135827861667E-005</v>
      </c>
      <c r="U24" s="0" t="n">
        <v>0.0001129693045995</v>
      </c>
      <c r="V24" s="0" t="n">
        <v>0.000110215677151667</v>
      </c>
      <c r="Z24" s="1"/>
      <c r="AA24" s="1"/>
      <c r="AB24" s="11"/>
      <c r="AJ24" s="0" t="n">
        <v>1.37707635472306</v>
      </c>
      <c r="AK24" s="0" t="n">
        <v>0.000157271398965</v>
      </c>
      <c r="AL24" s="0" t="n">
        <f aca="false">AK24-0.0000470557218133333</f>
        <v>0.000110215677151667</v>
      </c>
      <c r="AM24" s="0" t="n">
        <v>0.171210288923305</v>
      </c>
      <c r="AN24" s="0" t="n">
        <v>0.00166411518097582</v>
      </c>
      <c r="AO24" s="0" t="n">
        <v>6.59135827861667E-005</v>
      </c>
      <c r="AP24" s="0" t="n">
        <v>1.37707635472306</v>
      </c>
      <c r="AQ24" s="0" t="n">
        <v>0.000157271398965</v>
      </c>
      <c r="AR24" s="0" t="n">
        <f aca="false">AQ24-0.0000470557218133333</f>
        <v>0.000110215677151667</v>
      </c>
      <c r="AS24" s="0" t="n">
        <v>0.171210288923305</v>
      </c>
      <c r="AT24" s="0" t="n">
        <v>0.00332823036195164</v>
      </c>
      <c r="AU24" s="3" t="n">
        <v>0.0202220379130159</v>
      </c>
      <c r="AV24" s="0" t="n">
        <v>0.181552958376877</v>
      </c>
      <c r="AW24" s="0" t="n">
        <v>0.000134948953474167</v>
      </c>
      <c r="AZ24" s="0" t="n">
        <v>0.217166968182495</v>
      </c>
      <c r="BA24" s="0" t="n">
        <v>0.194766968182495</v>
      </c>
      <c r="BC24" s="0" t="n">
        <v>0.128026753711512</v>
      </c>
      <c r="BD24" s="0" t="n">
        <f aca="false">BC24-0.0224</f>
        <v>0.105626753711512</v>
      </c>
      <c r="BE24" s="0" t="n">
        <v>0.0655538169062033</v>
      </c>
      <c r="BF24" s="3" t="n">
        <v>0.0207538169062033</v>
      </c>
      <c r="BG24" s="0" t="n">
        <v>0.0345002230879453</v>
      </c>
      <c r="BH24" s="0" t="n">
        <f aca="false">M24/BG24</f>
        <v>0.700403857877112</v>
      </c>
      <c r="BI24" s="0" t="n">
        <v>0.00785482045211074</v>
      </c>
      <c r="BJ24" s="0" t="n">
        <v>0.625800140596889</v>
      </c>
      <c r="BK24" s="0" t="n">
        <v>0</v>
      </c>
      <c r="BL24" s="0" t="n">
        <v>0</v>
      </c>
      <c r="BM24" s="0" t="n">
        <v>0</v>
      </c>
      <c r="BN24" s="0" t="e">
        <f aca="false">#REF!/#REF!</f>
        <v>#REF!</v>
      </c>
      <c r="BO24" s="0" t="n">
        <v>0.0188962287816</v>
      </c>
    </row>
    <row r="25" customFormat="false" ht="12.8" hidden="false" customHeight="false" outlineLevel="0" collapsed="false">
      <c r="A25" s="0" t="s">
        <v>78</v>
      </c>
      <c r="B25" s="0" t="s">
        <v>50</v>
      </c>
      <c r="C25" s="0" t="s">
        <v>59</v>
      </c>
      <c r="D25" s="0" t="s">
        <v>52</v>
      </c>
      <c r="E25" s="10" t="n">
        <v>0.19085</v>
      </c>
      <c r="F25" s="0" t="n">
        <v>1.997</v>
      </c>
      <c r="G25" s="0" t="n">
        <v>310</v>
      </c>
      <c r="H25" s="0" t="n">
        <v>271</v>
      </c>
      <c r="I25" s="0" t="s">
        <v>55</v>
      </c>
      <c r="J25" s="0" t="n">
        <v>0</v>
      </c>
      <c r="K25" s="0" t="n">
        <v>0.1278886</v>
      </c>
      <c r="L25" s="0" t="n">
        <v>0.0153953769621556</v>
      </c>
      <c r="M25" s="1" t="n">
        <v>0.0351072457114653</v>
      </c>
      <c r="N25" s="0" t="n">
        <v>0.192652148954902</v>
      </c>
      <c r="O25" s="0" t="n">
        <v>0.228927090478681</v>
      </c>
      <c r="P25" s="0" t="n">
        <v>0.189306760553074</v>
      </c>
      <c r="Q25" s="0" t="n">
        <v>0.293053123643548</v>
      </c>
      <c r="R25" s="11" t="n">
        <v>0.0955178256816</v>
      </c>
      <c r="S25" s="0" t="n">
        <v>0.0801272822228478</v>
      </c>
      <c r="T25" s="0" t="n">
        <v>0.000158683324077667</v>
      </c>
      <c r="U25" s="0" t="n">
        <v>0.000205739045891</v>
      </c>
      <c r="V25" s="0" t="n">
        <v>0.000188238453345667</v>
      </c>
      <c r="Z25" s="1"/>
      <c r="AA25" s="1"/>
      <c r="AB25" s="11"/>
      <c r="AJ25" s="0" t="n">
        <v>0.755201479991726</v>
      </c>
      <c r="AK25" s="0" t="n">
        <v>0.0002356888942895</v>
      </c>
      <c r="AL25" s="0" t="n">
        <f aca="false">AK25-0.0000470557218133333</f>
        <v>0.000188633172476167</v>
      </c>
      <c r="AM25" s="0" t="n">
        <v>0.868050873223802</v>
      </c>
      <c r="AN25" s="0" t="n">
        <v>0.0180719915734057</v>
      </c>
      <c r="AO25" s="0" t="n">
        <v>0.000158053769041667</v>
      </c>
      <c r="AP25" s="0" t="n">
        <v>0.779452460274168</v>
      </c>
      <c r="AQ25" s="0" t="n">
        <v>0.000235294175159</v>
      </c>
      <c r="AR25" s="0" t="n">
        <f aca="false">AQ25-0.0000470557218133333</f>
        <v>0.000188238453345667</v>
      </c>
      <c r="AS25" s="0" t="n">
        <v>0.861344553385727</v>
      </c>
      <c r="AT25" s="0" t="n">
        <v>0.0297235241521836</v>
      </c>
      <c r="AU25" s="3" t="n">
        <v>0.069462381257714</v>
      </c>
      <c r="AV25" s="0" t="n">
        <v>0.108044459199692</v>
      </c>
      <c r="AW25" s="0" t="n">
        <v>0.000196508766458667</v>
      </c>
      <c r="AZ25" s="0" t="n">
        <v>0.160041108996764</v>
      </c>
      <c r="BA25" s="0" t="n">
        <v>0.137641108996764</v>
      </c>
      <c r="BC25" s="0" t="n">
        <v>0.211706760553074</v>
      </c>
      <c r="BD25" s="0" t="n">
        <f aca="false">BC25-0.0224</f>
        <v>0.189306760553074</v>
      </c>
      <c r="BE25" s="0" t="n">
        <v>0.11747654334159</v>
      </c>
      <c r="BF25" s="3" t="n">
        <v>0.07267654334159</v>
      </c>
      <c r="BG25" s="0" t="n">
        <v>0.041914242902811</v>
      </c>
      <c r="BH25" s="0" t="n">
        <f aca="false">M25/BG25</f>
        <v>0.83759703814454</v>
      </c>
      <c r="BI25" s="0" t="n">
        <v>0.00755454852554537</v>
      </c>
      <c r="BJ25" s="0" t="n">
        <v>0.576454038902351</v>
      </c>
      <c r="BK25" s="0" t="n">
        <v>0</v>
      </c>
      <c r="BL25" s="0" t="n">
        <v>0</v>
      </c>
      <c r="BM25" s="0" t="n">
        <v>0</v>
      </c>
      <c r="BN25" s="0" t="e">
        <f aca="false">#REF!/#REF!</f>
        <v>#REF!</v>
      </c>
      <c r="BO25" s="0" t="n">
        <v>0.0921008483192</v>
      </c>
    </row>
    <row r="26" customFormat="false" ht="12.8" hidden="false" customHeight="false" outlineLevel="0" collapsed="false">
      <c r="A26" s="0" t="s">
        <v>79</v>
      </c>
      <c r="B26" s="0" t="s">
        <v>50</v>
      </c>
      <c r="C26" s="0" t="s">
        <v>51</v>
      </c>
      <c r="D26" s="0" t="s">
        <v>52</v>
      </c>
      <c r="E26" s="10" t="n">
        <v>0.709425</v>
      </c>
      <c r="F26" s="0" t="n">
        <v>4.69975</v>
      </c>
      <c r="G26" s="0" t="n">
        <v>1984</v>
      </c>
      <c r="H26" s="0" t="n">
        <v>1905</v>
      </c>
      <c r="I26" s="0" t="s">
        <v>55</v>
      </c>
      <c r="J26" s="0" t="n">
        <v>0.0464447699</v>
      </c>
      <c r="K26" s="0" t="n">
        <v>0.363502</v>
      </c>
      <c r="L26" s="0" t="n">
        <v>0.113208141290543</v>
      </c>
      <c r="M26" s="1" t="n">
        <v>0.0183986516544913</v>
      </c>
      <c r="N26" s="0" t="n">
        <v>0.316731149820653</v>
      </c>
      <c r="O26" s="0" t="n">
        <v>0.342391907764181</v>
      </c>
      <c r="P26" s="0" t="n">
        <v>0.305418214507651</v>
      </c>
      <c r="Q26" s="0" t="n">
        <v>0.459983390835221</v>
      </c>
      <c r="R26" s="11" t="n">
        <v>0.491120106055</v>
      </c>
      <c r="S26" s="0" t="n">
        <v>0.377925415457096</v>
      </c>
      <c r="T26" s="0" t="n">
        <v>8.63328085778333E-005</v>
      </c>
      <c r="U26" s="0" t="n">
        <v>0.0001406668452445</v>
      </c>
      <c r="V26" s="0" t="n">
        <v>0.000137128915457333</v>
      </c>
      <c r="Z26" s="1"/>
      <c r="AA26" s="1"/>
      <c r="AB26" s="11"/>
      <c r="AJ26" s="0" t="n">
        <v>9.39046755151842</v>
      </c>
      <c r="AK26" s="0" t="n">
        <v>0.000201819345185</v>
      </c>
      <c r="AL26" s="0" t="n">
        <f aca="false">AK26-0.0000543340366666667</f>
        <v>0.000147485308518333</v>
      </c>
      <c r="AM26" s="0" t="n">
        <v>2.44815454537065</v>
      </c>
      <c r="AN26" s="0" t="n">
        <v>7.05896429905323E-104</v>
      </c>
      <c r="AO26" s="0" t="n">
        <v>8.62890562343333E-005</v>
      </c>
      <c r="AP26" s="0" t="n">
        <v>9.4908781657942</v>
      </c>
      <c r="AQ26" s="0" t="n">
        <v>0.000191462952124</v>
      </c>
      <c r="AR26" s="0" t="n">
        <f aca="false">AQ26-0.0000543340366666667</f>
        <v>0.000137128915457333</v>
      </c>
      <c r="AS26" s="0" t="n">
        <v>0.720941387805128</v>
      </c>
      <c r="AT26" s="0" t="n">
        <v>5.35438501985894E-079</v>
      </c>
      <c r="AU26" s="3" t="n">
        <v>0.111758913515055</v>
      </c>
      <c r="AV26" s="0" t="n">
        <v>0.486171480053532</v>
      </c>
      <c r="AW26" s="0" t="n">
        <v>0.000188152537108333</v>
      </c>
      <c r="AZ26" s="0" t="n">
        <v>0.277338360474485</v>
      </c>
      <c r="BA26" s="0" t="n">
        <v>0.253838360474485</v>
      </c>
      <c r="BC26" s="0" t="n">
        <v>0.328918214507651</v>
      </c>
      <c r="BD26" s="0" t="n">
        <f aca="false">BC26-0.0235</f>
        <v>0.305418214507651</v>
      </c>
      <c r="BE26" s="0" t="n">
        <v>0.158350281820499</v>
      </c>
      <c r="BF26" s="3" t="n">
        <v>0.111350281820499</v>
      </c>
      <c r="BG26" s="0" t="n">
        <v>0.0311938877452997</v>
      </c>
      <c r="BH26" s="0" t="n">
        <f aca="false">M26/BG26</f>
        <v>0.589815921783062</v>
      </c>
      <c r="BI26" s="0" t="n">
        <v>2.25863287519432E-120</v>
      </c>
      <c r="BJ26" s="0" t="n">
        <v>0.482902024504435</v>
      </c>
      <c r="BK26" s="0" t="n">
        <v>0.258961440472438</v>
      </c>
      <c r="BL26" s="0" t="n">
        <v>0.273816964944222</v>
      </c>
      <c r="BM26" s="0" t="n">
        <v>0.250316964944222</v>
      </c>
      <c r="BN26" s="0" t="e">
        <f aca="false">#REF!/#REF!</f>
        <v>#REF!</v>
      </c>
      <c r="BO26" s="0" t="n">
        <v>0.464014776745</v>
      </c>
    </row>
    <row r="27" customFormat="false" ht="12.8" hidden="false" customHeight="false" outlineLevel="0" collapsed="false">
      <c r="A27" s="0" t="s">
        <v>80</v>
      </c>
      <c r="B27" s="0" t="s">
        <v>50</v>
      </c>
      <c r="C27" s="0" t="s">
        <v>51</v>
      </c>
      <c r="D27" s="0" t="s">
        <v>52</v>
      </c>
      <c r="E27" s="10" t="n">
        <v>0.2404</v>
      </c>
      <c r="F27" s="0" t="n">
        <v>2.6125</v>
      </c>
      <c r="G27" s="0" t="n">
        <v>429</v>
      </c>
      <c r="H27" s="0" t="n">
        <v>394</v>
      </c>
      <c r="I27" s="0" t="s">
        <v>55</v>
      </c>
      <c r="J27" s="0" t="n">
        <v>0.0168299992</v>
      </c>
      <c r="K27" s="0" t="n">
        <v>0.1343226</v>
      </c>
      <c r="L27" s="0" t="n">
        <v>0.0244764128309164</v>
      </c>
      <c r="M27" s="1" t="n">
        <v>0.0249339152731962</v>
      </c>
      <c r="N27" s="0" t="n">
        <v>0.172771777266746</v>
      </c>
      <c r="O27" s="0" t="n">
        <v>0.249452518705074</v>
      </c>
      <c r="P27" s="0" t="n">
        <v>0.190406203886211</v>
      </c>
      <c r="Q27" s="0" t="n">
        <v>0.276063416818897</v>
      </c>
      <c r="R27" s="11" t="n">
        <v>0.13287043034</v>
      </c>
      <c r="S27" s="0" t="n">
        <v>0.108391460130484</v>
      </c>
      <c r="T27" s="0" t="n">
        <v>0.000102403996889333</v>
      </c>
      <c r="U27" s="0" t="n">
        <v>0.000156738033556</v>
      </c>
      <c r="V27" s="0" t="n">
        <v>0.000165393059720333</v>
      </c>
      <c r="Z27" s="1"/>
      <c r="AA27" s="1"/>
      <c r="AB27" s="11"/>
      <c r="AJ27" s="0" t="n">
        <v>1.45735290185081</v>
      </c>
      <c r="AK27" s="0" t="n">
        <v>0.000250218932908</v>
      </c>
      <c r="AL27" s="0" t="n">
        <f aca="false">AK27-0.0000543340366666667</f>
        <v>0.000195884896241333</v>
      </c>
      <c r="AM27" s="0" t="n">
        <v>2.81720084225148</v>
      </c>
      <c r="AN27" s="0" t="n">
        <v>7.8571101040388E-020</v>
      </c>
      <c r="AO27" s="0" t="n">
        <v>0.000102424066397833</v>
      </c>
      <c r="AP27" s="0" t="n">
        <v>1.43216444925467</v>
      </c>
      <c r="AQ27" s="0" t="n">
        <v>0.000219727096387</v>
      </c>
      <c r="AR27" s="0" t="n">
        <f aca="false">AQ27-0.0000543340366666667</f>
        <v>0.000165393059720333</v>
      </c>
      <c r="AS27" s="0" t="n">
        <v>0.731988770436228</v>
      </c>
      <c r="AT27" s="0" t="n">
        <v>1.9197798085E-010</v>
      </c>
      <c r="AU27" s="3" t="n">
        <v>0.083299513387468</v>
      </c>
      <c r="AV27" s="0" t="n">
        <v>0.183047665075974</v>
      </c>
      <c r="AW27" s="0" t="n">
        <v>0.000166529918605833</v>
      </c>
      <c r="AZ27" s="0" t="n">
        <v>0.128612117732079</v>
      </c>
      <c r="BA27" s="0" t="n">
        <v>0.105112117732079</v>
      </c>
      <c r="BC27" s="0" t="n">
        <v>0.213906203886211</v>
      </c>
      <c r="BD27" s="0" t="n">
        <f aca="false">BC27-0.0235</f>
        <v>0.190406203886211</v>
      </c>
      <c r="BE27" s="0" t="n">
        <v>0.137020118407959</v>
      </c>
      <c r="BF27" s="3" t="n">
        <v>0.090020118407959</v>
      </c>
      <c r="BG27" s="0" t="n">
        <v>0.0414455238539506</v>
      </c>
      <c r="BH27" s="0" t="n">
        <f aca="false">M27/BG27</f>
        <v>0.601606951840216</v>
      </c>
      <c r="BI27" s="0" t="n">
        <v>1.08587811079917E-020</v>
      </c>
      <c r="BJ27" s="0" t="n">
        <v>0.682653197180022</v>
      </c>
      <c r="BK27" s="0" t="n">
        <v>0.270912635986774</v>
      </c>
      <c r="BL27" s="0" t="n">
        <v>0.308827069877747</v>
      </c>
      <c r="BM27" s="0" t="n">
        <v>0.285327069877747</v>
      </c>
      <c r="BN27" s="0" t="e">
        <f aca="false">#REF!/#REF!</f>
        <v>#REF!</v>
      </c>
      <c r="BO27" s="0" t="n">
        <v>0.12765051442</v>
      </c>
    </row>
    <row r="28" customFormat="false" ht="12.8" hidden="false" customHeight="false" outlineLevel="0" collapsed="false">
      <c r="A28" s="0" t="s">
        <v>81</v>
      </c>
      <c r="B28" s="0" t="s">
        <v>50</v>
      </c>
      <c r="C28" s="0" t="s">
        <v>51</v>
      </c>
      <c r="D28" s="0" t="s">
        <v>52</v>
      </c>
      <c r="E28" s="10" t="n">
        <v>0.41135</v>
      </c>
      <c r="F28" s="0" t="n">
        <v>3.1725</v>
      </c>
      <c r="G28" s="0" t="n">
        <v>760</v>
      </c>
      <c r="H28" s="0" t="n">
        <v>707</v>
      </c>
      <c r="I28" s="2" t="s">
        <v>53</v>
      </c>
      <c r="J28" s="2" t="n">
        <v>0.0764219686</v>
      </c>
      <c r="K28" s="2" t="n">
        <v>0.336073</v>
      </c>
      <c r="L28" s="2" t="n">
        <v>0.0433547132282564</v>
      </c>
      <c r="M28" s="1" t="n">
        <v>0.0231598921549002</v>
      </c>
      <c r="N28" s="0" t="n">
        <v>0.188887044450855</v>
      </c>
      <c r="O28" s="0" t="n">
        <v>0.287870018756433</v>
      </c>
      <c r="P28" s="2" t="n">
        <v>0.236329929279648</v>
      </c>
      <c r="Q28" s="0" t="n">
        <v>0.2521365457038</v>
      </c>
      <c r="R28" s="11" t="n">
        <v>0.199783512945</v>
      </c>
      <c r="S28" s="0" t="n">
        <v>0.156416364719172</v>
      </c>
      <c r="T28" s="0" t="n">
        <v>0.000106300299460333</v>
      </c>
      <c r="U28" s="0" t="n">
        <v>0.000160634336127</v>
      </c>
      <c r="V28" s="0" t="n">
        <v>0.000156996089930333</v>
      </c>
      <c r="Z28" s="1"/>
      <c r="AA28" s="1"/>
      <c r="AB28" s="11"/>
      <c r="AJ28" s="0" t="n">
        <v>2.3658154565796</v>
      </c>
      <c r="AK28" s="0" t="n">
        <v>0.0002158135712745</v>
      </c>
      <c r="AL28" s="0" t="n">
        <f aca="false">AK28-0.0000543340366666667</f>
        <v>0.000161479534607833</v>
      </c>
      <c r="AM28" s="0" t="n">
        <v>0.556592631772378</v>
      </c>
      <c r="AN28" s="0" t="n">
        <v>1.10081042930935E-022</v>
      </c>
      <c r="AO28" s="0" t="n">
        <v>0.000106878761429333</v>
      </c>
      <c r="AP28" s="0" t="n">
        <v>2.95361025947345</v>
      </c>
      <c r="AQ28" s="0" t="n">
        <v>0.000211330126597</v>
      </c>
      <c r="AR28" s="0" t="n">
        <f aca="false">AQ28-0.0000543340366666667</f>
        <v>0.000156996089930333</v>
      </c>
      <c r="AS28" s="0" t="n">
        <v>0.538610596139089</v>
      </c>
      <c r="AT28" s="0" t="n">
        <v>1.04964092189877E-019</v>
      </c>
      <c r="AU28" s="3" t="n">
        <v>0.078068109043441</v>
      </c>
      <c r="AV28" s="0" t="n">
        <v>0.000673987707783428</v>
      </c>
      <c r="AW28" s="0" t="n">
        <v>0.000216994011047333</v>
      </c>
      <c r="AZ28" s="0" t="n">
        <v>0.0976357031479861</v>
      </c>
      <c r="BA28" s="0" t="n">
        <v>0.0741357031479861</v>
      </c>
      <c r="BC28" s="0" t="n">
        <v>0.259829929279648</v>
      </c>
      <c r="BD28" s="0" t="n">
        <f aca="false">BC28-0.0235</f>
        <v>0.236329929279648</v>
      </c>
      <c r="BE28" s="0" t="n">
        <v>0.136436913687093</v>
      </c>
      <c r="BF28" s="3" t="n">
        <v>0.089436913687093</v>
      </c>
      <c r="BG28" s="0" t="n">
        <v>0.0343437008533873</v>
      </c>
      <c r="BH28" s="0" t="n">
        <f aca="false">M28/BG28</f>
        <v>0.674356332585396</v>
      </c>
      <c r="BI28" s="0" t="n">
        <v>1.6747094863393E-023</v>
      </c>
      <c r="BJ28" s="0" t="n">
        <v>0.523536758426377</v>
      </c>
      <c r="BK28" s="0" t="n">
        <v>0.218418489204399</v>
      </c>
      <c r="BL28" s="0" t="n">
        <v>0.156458215113214</v>
      </c>
      <c r="BM28" s="0" t="n">
        <v>0.132958215113214</v>
      </c>
      <c r="BN28" s="0" t="e">
        <f aca="false">#REF!/#REF!</f>
        <v>#REF!</v>
      </c>
      <c r="BO28" s="0" t="n">
        <v>0.190479492875</v>
      </c>
    </row>
    <row r="29" customFormat="false" ht="12.8" hidden="false" customHeight="false" outlineLevel="0" collapsed="false">
      <c r="A29" s="0" t="s">
        <v>82</v>
      </c>
      <c r="B29" s="0" t="s">
        <v>50</v>
      </c>
      <c r="C29" s="0" t="s">
        <v>59</v>
      </c>
      <c r="D29" s="0" t="s">
        <v>52</v>
      </c>
      <c r="E29" s="10" t="n">
        <v>0.16185</v>
      </c>
      <c r="F29" s="0" t="n">
        <v>1.79375</v>
      </c>
      <c r="G29" s="0" t="n">
        <v>521</v>
      </c>
      <c r="H29" s="0" t="n">
        <v>475</v>
      </c>
      <c r="I29" s="0" t="s">
        <v>55</v>
      </c>
      <c r="J29" s="0" t="n">
        <v>0</v>
      </c>
      <c r="K29" s="0" t="n">
        <v>0.0896485</v>
      </c>
      <c r="L29" s="0" t="n">
        <v>0.0258703216521007</v>
      </c>
      <c r="M29" s="1" t="n">
        <v>0.0199554556990831</v>
      </c>
      <c r="N29" s="0" t="n">
        <v>0.170699316311198</v>
      </c>
      <c r="O29" s="0" t="n">
        <v>0.224552104730623</v>
      </c>
      <c r="P29" s="0" t="n">
        <v>0.176730035675072</v>
      </c>
      <c r="Q29" s="0" t="n">
        <v>0.217688552825365</v>
      </c>
      <c r="R29" s="11" t="n">
        <v>0.103659890404</v>
      </c>
      <c r="S29" s="0" t="n">
        <v>0.0777949405910066</v>
      </c>
      <c r="T29" s="0" t="n">
        <v>7.33631569431667E-005</v>
      </c>
      <c r="U29" s="0" t="n">
        <v>0.0001204188787565</v>
      </c>
      <c r="V29" s="0" t="n">
        <v>0.000106842345235667</v>
      </c>
      <c r="Z29" s="1"/>
      <c r="AA29" s="1"/>
      <c r="AB29" s="11"/>
      <c r="AJ29" s="0" t="n">
        <v>1.93795693504102</v>
      </c>
      <c r="AK29" s="0" t="n">
        <v>0.000153898067049</v>
      </c>
      <c r="AL29" s="0" t="n">
        <f aca="false">AK29-0.0000470557218133333</f>
        <v>0.000106842345235667</v>
      </c>
      <c r="AM29" s="0" t="n">
        <v>0.70693300532738</v>
      </c>
      <c r="AN29" s="0" t="n">
        <v>6.132746643543E-008</v>
      </c>
      <c r="AO29" s="0" t="n">
        <v>7.33631569431667E-005</v>
      </c>
      <c r="AP29" s="0" t="n">
        <v>1.93795693504102</v>
      </c>
      <c r="AQ29" s="0" t="n">
        <v>0.000153898067049</v>
      </c>
      <c r="AR29" s="0" t="n">
        <f aca="false">AQ29-0.0000470557218133333</f>
        <v>0.000106842345235667</v>
      </c>
      <c r="AS29" s="0" t="n">
        <v>0.70693300532738</v>
      </c>
      <c r="AT29" s="0" t="n">
        <v>1.2265493287085E-007</v>
      </c>
      <c r="AU29" s="3" t="n">
        <v>0.056258246471851</v>
      </c>
      <c r="AV29" s="0" t="n">
        <v>0.00577376082679451</v>
      </c>
      <c r="AW29" s="0" t="n">
        <v>0.000151989994265667</v>
      </c>
      <c r="AZ29" s="0" t="n">
        <v>0.170987818391983</v>
      </c>
      <c r="BA29" s="0" t="n">
        <v>0.148587818391983</v>
      </c>
      <c r="BC29" s="0" t="n">
        <v>0.199130035675072</v>
      </c>
      <c r="BD29" s="0" t="n">
        <f aca="false">BC29-0.0224</f>
        <v>0.176730035675072</v>
      </c>
      <c r="BE29" s="0" t="n">
        <v>0.106198884693473</v>
      </c>
      <c r="BF29" s="3" t="n">
        <v>0.061398884693473</v>
      </c>
      <c r="BG29" s="0" t="n">
        <v>0.0286071265189642</v>
      </c>
      <c r="BH29" s="0" t="n">
        <f aca="false">M29/BG29</f>
        <v>0.697569386630085</v>
      </c>
      <c r="BI29" s="0" t="n">
        <v>7.57736111472E-009</v>
      </c>
      <c r="BJ29" s="0" t="n">
        <v>0.557272288678514</v>
      </c>
      <c r="BK29" s="0" t="n">
        <v>0</v>
      </c>
      <c r="BL29" s="0" t="n">
        <v>0</v>
      </c>
      <c r="BM29" s="0" t="n">
        <v>0</v>
      </c>
      <c r="BN29" s="0" t="e">
        <f aca="false">#REF!/#REF!</f>
        <v>#REF!</v>
      </c>
      <c r="BO29" s="0" t="n">
        <v>0.0906156974872</v>
      </c>
    </row>
    <row r="30" customFormat="false" ht="12.8" hidden="false" customHeight="false" outlineLevel="0" collapsed="false">
      <c r="A30" s="0" t="s">
        <v>83</v>
      </c>
      <c r="B30" s="0" t="s">
        <v>50</v>
      </c>
      <c r="C30" s="0" t="s">
        <v>59</v>
      </c>
      <c r="D30" s="0" t="s">
        <v>52</v>
      </c>
      <c r="E30" s="10" t="n">
        <v>0.040765</v>
      </c>
      <c r="F30" s="0" t="n">
        <v>0.793325</v>
      </c>
      <c r="G30" s="0" t="n">
        <v>45</v>
      </c>
      <c r="H30" s="0" t="n">
        <v>28</v>
      </c>
      <c r="I30" s="0" t="s">
        <v>53</v>
      </c>
      <c r="J30" s="0" t="n">
        <v>0</v>
      </c>
      <c r="K30" s="0" t="n">
        <v>0.024436</v>
      </c>
      <c r="L30" s="0" t="n">
        <v>0.00223458564257528</v>
      </c>
      <c r="M30" s="1" t="n">
        <v>0.0302108972837381</v>
      </c>
      <c r="N30" s="0" t="n">
        <v>0.084638576899035</v>
      </c>
      <c r="O30" s="0" t="n">
        <v>0.1097420097258</v>
      </c>
      <c r="P30" s="0" t="n">
        <v>0.0671737819190393</v>
      </c>
      <c r="Q30" s="0" t="n">
        <v>0.118215597516241</v>
      </c>
      <c r="R30" s="11" t="n">
        <v>0.008013400874</v>
      </c>
      <c r="S30" s="0" t="n">
        <v>0.00577774163125953</v>
      </c>
      <c r="T30" s="0" t="n">
        <v>6.84732186531667E-005</v>
      </c>
      <c r="U30" s="0" t="n">
        <v>0.0001155289404665</v>
      </c>
      <c r="V30" s="0" t="n">
        <v>0</v>
      </c>
      <c r="Z30" s="1"/>
      <c r="AA30" s="1"/>
      <c r="AB30" s="11"/>
      <c r="AJ30" s="0" t="n">
        <v>100</v>
      </c>
      <c r="AK30" s="0" t="n">
        <v>0</v>
      </c>
      <c r="AL30" s="0" t="n">
        <f aca="false">AK30-0.0000470557218133333</f>
        <v>-4.70557218133333E-005</v>
      </c>
      <c r="AM30" s="0" t="n">
        <v>100</v>
      </c>
      <c r="AN30" s="0" t="n">
        <v>0</v>
      </c>
      <c r="AO30" s="0" t="n">
        <v>6.84732186531667E-005</v>
      </c>
      <c r="AP30" s="0" t="n">
        <v>0</v>
      </c>
      <c r="AQ30" s="0" t="n">
        <v>0</v>
      </c>
      <c r="AR30" s="0" t="n">
        <v>0</v>
      </c>
      <c r="AS30" s="0" t="n">
        <v>100</v>
      </c>
      <c r="AU30" s="3" t="n">
        <v>0.0082839622174381</v>
      </c>
      <c r="AV30" s="0" t="n">
        <v>0.243076465816589</v>
      </c>
      <c r="AW30" s="0" t="n">
        <v>0</v>
      </c>
      <c r="AZ30" s="0" t="n">
        <v>0.11059588709358</v>
      </c>
      <c r="BA30" s="0" t="n">
        <v>0.08819588709358</v>
      </c>
      <c r="BC30" s="0" t="n">
        <v>0.0895737819190393</v>
      </c>
      <c r="BD30" s="0" t="n">
        <f aca="false">BC30-0.0224</f>
        <v>0.0671737819190393</v>
      </c>
      <c r="BE30" s="0" t="n">
        <v>0.063713595176235</v>
      </c>
      <c r="BF30" s="3" t="n">
        <v>0.018913595176235</v>
      </c>
      <c r="BG30" s="0" t="n">
        <v>0.0389163823916695</v>
      </c>
      <c r="BH30" s="0" t="n">
        <f aca="false">M30/BG30</f>
        <v>0.77630281714482</v>
      </c>
      <c r="BI30" s="0" t="n">
        <v>0.0838058276447464</v>
      </c>
      <c r="BJ30" s="0" t="n">
        <v>0.751795187216804</v>
      </c>
      <c r="BK30" s="0" t="n">
        <v>0</v>
      </c>
      <c r="BL30" s="0" t="n">
        <v>0</v>
      </c>
      <c r="BM30" s="0" t="n">
        <v>0</v>
      </c>
      <c r="BN30" s="0" t="e">
        <f aca="false">#REF!/#REF!</f>
        <v>#REF!</v>
      </c>
      <c r="BO30" s="0" t="n">
        <v>0.0052525658596</v>
      </c>
    </row>
    <row r="31" customFormat="false" ht="12.8" hidden="false" customHeight="false" outlineLevel="0" collapsed="false">
      <c r="A31" s="0" t="s">
        <v>84</v>
      </c>
      <c r="B31" s="0" t="s">
        <v>50</v>
      </c>
      <c r="C31" s="0" t="s">
        <v>59</v>
      </c>
      <c r="D31" s="0" t="s">
        <v>52</v>
      </c>
      <c r="E31" s="10" t="n">
        <v>0.124</v>
      </c>
      <c r="F31" s="0" t="n">
        <v>1.71925</v>
      </c>
      <c r="G31" s="0" t="n">
        <v>250</v>
      </c>
      <c r="H31" s="0" t="n">
        <v>212</v>
      </c>
      <c r="I31" s="0" t="s">
        <v>53</v>
      </c>
      <c r="J31" s="0" t="n">
        <v>0</v>
      </c>
      <c r="K31" s="0" t="n">
        <v>0.059292</v>
      </c>
      <c r="L31" s="0" t="n">
        <v>0.015794026578756</v>
      </c>
      <c r="M31" s="1" t="n">
        <v>0.0387599431190637</v>
      </c>
      <c r="N31" s="0" t="n">
        <v>0.471015692072429</v>
      </c>
      <c r="O31" s="0" t="n">
        <v>0.287977794386421</v>
      </c>
      <c r="P31" s="0" t="n">
        <v>0.193854235377242</v>
      </c>
      <c r="Q31" s="0" t="n">
        <v>0.412026636838681</v>
      </c>
      <c r="R31" s="11" t="n">
        <v>0.089510267584</v>
      </c>
      <c r="S31" s="0" t="n">
        <v>0.0737233370327412</v>
      </c>
      <c r="T31" s="0" t="n">
        <v>0.000145054086243667</v>
      </c>
      <c r="U31" s="0" t="n">
        <v>0.000192109808057</v>
      </c>
      <c r="V31" s="0" t="n">
        <v>0.000217286246679667</v>
      </c>
      <c r="Z31" s="1"/>
      <c r="AA31" s="1"/>
      <c r="AB31" s="11"/>
      <c r="AJ31" s="0" t="n">
        <v>1.53033824768118</v>
      </c>
      <c r="AK31" s="0" t="n">
        <v>0.000308357369808</v>
      </c>
      <c r="AL31" s="0" t="n">
        <f aca="false">AK31-0.0000470557218133333</f>
        <v>0.000261301647994667</v>
      </c>
      <c r="AM31" s="0" t="n">
        <v>0.911597877565218</v>
      </c>
      <c r="AN31" s="0" t="n">
        <v>1.349002130256E-008</v>
      </c>
      <c r="AO31" s="0" t="n">
        <v>0.000140189434965667</v>
      </c>
      <c r="AP31" s="0" t="n">
        <v>1.43061843371082</v>
      </c>
      <c r="AQ31" s="0" t="n">
        <v>0.000264341968493</v>
      </c>
      <c r="AR31" s="0" t="n">
        <f aca="false">AQ31-0.0000470557218133333</f>
        <v>0.000217286246679667</v>
      </c>
      <c r="AS31" s="0" t="n">
        <v>1.00941366572564</v>
      </c>
      <c r="AT31" s="0" t="n">
        <v>5.90006179235503E-005</v>
      </c>
      <c r="AU31" s="3" t="n">
        <v>0.061069117395981</v>
      </c>
      <c r="AV31" s="0" t="n">
        <v>0.137281487234647</v>
      </c>
      <c r="AW31" s="0" t="n">
        <v>0.000138999666832667</v>
      </c>
      <c r="AZ31" s="0" t="n">
        <v>0.550907625652348</v>
      </c>
      <c r="BA31" s="0" t="n">
        <v>0.528507625652348</v>
      </c>
      <c r="BC31" s="0" t="n">
        <v>0.216254235377242</v>
      </c>
      <c r="BD31" s="0" t="n">
        <f aca="false">BC31-0.0224</f>
        <v>0.193854235377242</v>
      </c>
      <c r="BE31" s="0" t="n">
        <v>0.10101137993554</v>
      </c>
      <c r="BF31" s="3" t="n">
        <v>0.05621137993554</v>
      </c>
      <c r="BG31" s="0" t="n">
        <v>0.0519122062601885</v>
      </c>
      <c r="BH31" s="0" t="n">
        <f aca="false">M31/BG31</f>
        <v>0.746644111498469</v>
      </c>
      <c r="BI31" s="0" t="n">
        <v>6.7551534938774E-006</v>
      </c>
      <c r="BJ31" s="0" t="n">
        <v>0.502030208780627</v>
      </c>
      <c r="BK31" s="0" t="n">
        <v>0</v>
      </c>
      <c r="BL31" s="0" t="n">
        <v>0</v>
      </c>
      <c r="BM31" s="0" t="n">
        <v>0</v>
      </c>
      <c r="BN31" s="0" t="e">
        <f aca="false">#REF!/#REF!</f>
        <v>#REF!</v>
      </c>
      <c r="BO31" s="0" t="n">
        <v>0.089510267584</v>
      </c>
    </row>
    <row r="32" customFormat="false" ht="12.8" hidden="false" customHeight="false" outlineLevel="0" collapsed="false">
      <c r="A32" s="0" t="s">
        <v>85</v>
      </c>
      <c r="B32" s="0" t="s">
        <v>50</v>
      </c>
      <c r="C32" s="0" t="s">
        <v>59</v>
      </c>
      <c r="D32" s="0" t="s">
        <v>52</v>
      </c>
      <c r="E32" s="10" t="n">
        <v>0.704525</v>
      </c>
      <c r="F32" s="0" t="n">
        <v>5.11925</v>
      </c>
      <c r="G32" s="0" t="n">
        <v>1752</v>
      </c>
      <c r="H32" s="0" t="n">
        <v>1671</v>
      </c>
      <c r="I32" s="0" t="s">
        <v>55</v>
      </c>
      <c r="J32" s="0" t="n">
        <v>0</v>
      </c>
      <c r="K32" s="0" t="n">
        <v>0.421733</v>
      </c>
      <c r="L32" s="0" t="n">
        <v>0.086964126156707</v>
      </c>
      <c r="M32" s="1" t="n">
        <v>0.0258920164120769</v>
      </c>
      <c r="N32" s="0" t="n">
        <v>0.463964120458996</v>
      </c>
      <c r="O32" s="0" t="n">
        <v>0.532040936560486</v>
      </c>
      <c r="P32" s="0" t="n">
        <v>0.447838299715582</v>
      </c>
      <c r="Q32" s="0" t="n">
        <v>0.384862798379268</v>
      </c>
      <c r="R32" s="11" t="n">
        <v>0.641360049088</v>
      </c>
      <c r="S32" s="0" t="n">
        <v>0.55439279929891</v>
      </c>
      <c r="T32" s="0" t="n">
        <v>0.000100069044533667</v>
      </c>
      <c r="U32" s="0" t="n">
        <v>0.000147124766347</v>
      </c>
      <c r="V32" s="0" t="n">
        <v>0.000250501206168667</v>
      </c>
      <c r="Z32" s="1"/>
      <c r="AA32" s="1"/>
      <c r="AB32" s="11"/>
      <c r="AJ32" s="0" t="n">
        <v>5.84313345907184</v>
      </c>
      <c r="AK32" s="0" t="n">
        <v>0.000313356783195</v>
      </c>
      <c r="AL32" s="0" t="n">
        <f aca="false">AK32-0.0000470557218133333</f>
        <v>0.000266301061381667</v>
      </c>
      <c r="AM32" s="0" t="n">
        <v>0.758163747630209</v>
      </c>
      <c r="AN32" s="0" t="n">
        <v>6.00353918012364E-124</v>
      </c>
      <c r="AO32" s="0" t="n">
        <v>9.63030305326667E-005</v>
      </c>
      <c r="AP32" s="0" t="n">
        <v>6.00840319771709</v>
      </c>
      <c r="AQ32" s="0" t="n">
        <v>0.000297556927982</v>
      </c>
      <c r="AR32" s="0" t="n">
        <f aca="false">AQ32-0.0000470557218133333</f>
        <v>0.000250501206168667</v>
      </c>
      <c r="AS32" s="0" t="n">
        <v>0.733895879408213</v>
      </c>
      <c r="AT32" s="0" t="n">
        <v>1.6656054258124E-119</v>
      </c>
      <c r="AU32" s="3" t="n">
        <v>0.129807788897348</v>
      </c>
      <c r="AV32" s="0" t="n">
        <v>1.788229962E-011</v>
      </c>
      <c r="AW32" s="0" t="n">
        <v>9.76949216546667E-005</v>
      </c>
      <c r="AZ32" s="0" t="n">
        <v>0.404432710064769</v>
      </c>
      <c r="BA32" s="0" t="n">
        <v>0.382032710064769</v>
      </c>
      <c r="BC32" s="0" t="n">
        <v>0.470238299715582</v>
      </c>
      <c r="BD32" s="0" t="n">
        <f aca="false">BC32-0.0224</f>
        <v>0.447838299715582</v>
      </c>
      <c r="BE32" s="0" t="n">
        <v>0.157779292435688</v>
      </c>
      <c r="BF32" s="3" t="n">
        <v>0.112979292435688</v>
      </c>
      <c r="BG32" s="0" t="n">
        <v>0.0470403644025691</v>
      </c>
      <c r="BH32" s="0" t="n">
        <f aca="false">M32/BG32</f>
        <v>0.550421255041613</v>
      </c>
      <c r="BI32" s="0" t="n">
        <v>4.53487153083404E-110</v>
      </c>
      <c r="BJ32" s="0" t="n">
        <v>0.325394243359239</v>
      </c>
      <c r="BK32" s="0" t="n">
        <v>0</v>
      </c>
      <c r="BL32" s="0" t="n">
        <v>0</v>
      </c>
      <c r="BM32" s="0" t="n">
        <v>0</v>
      </c>
      <c r="BN32" s="0" t="e">
        <f aca="false">#REF!/#REF!</f>
        <v>#REF!</v>
      </c>
      <c r="BO32" s="0" t="n">
        <v>0.641360049088</v>
      </c>
    </row>
    <row r="33" customFormat="false" ht="12.8" hidden="false" customHeight="false" outlineLevel="0" collapsed="false">
      <c r="A33" s="0" t="s">
        <v>86</v>
      </c>
      <c r="B33" s="0" t="s">
        <v>50</v>
      </c>
      <c r="C33" s="0" t="s">
        <v>59</v>
      </c>
      <c r="D33" s="0" t="s">
        <v>52</v>
      </c>
      <c r="E33" s="10" t="n">
        <v>0.0698525</v>
      </c>
      <c r="F33" s="0" t="n">
        <v>0.924625</v>
      </c>
      <c r="G33" s="0" t="n">
        <v>250</v>
      </c>
      <c r="H33" s="0" t="n">
        <v>201</v>
      </c>
      <c r="I33" s="0" t="s">
        <v>53</v>
      </c>
      <c r="J33" s="0" t="n">
        <v>0</v>
      </c>
      <c r="K33" s="0" t="n">
        <v>0.043253</v>
      </c>
      <c r="L33" s="0" t="n">
        <v>0.0121614372316078</v>
      </c>
      <c r="M33" s="1" t="n">
        <v>0.023341127485914</v>
      </c>
      <c r="N33" s="0" t="n">
        <v>0.199601918919668</v>
      </c>
      <c r="O33" s="0" t="n">
        <v>0.169591284647614</v>
      </c>
      <c r="P33" s="0" t="n">
        <v>0.137300218744723</v>
      </c>
      <c r="Q33" s="0" t="n">
        <v>0.197473589249007</v>
      </c>
      <c r="R33" s="11" t="n">
        <v>0.0477505360928</v>
      </c>
      <c r="S33" s="0" t="n">
        <v>0.0355877839138422</v>
      </c>
      <c r="T33" s="0" t="n">
        <v>8.89793357901667E-005</v>
      </c>
      <c r="U33" s="0" t="n">
        <v>0.0001360350576035</v>
      </c>
      <c r="V33" s="0" t="n">
        <v>9.77275907716667E-005</v>
      </c>
      <c r="Z33" s="1"/>
      <c r="AA33" s="1"/>
      <c r="AB33" s="11"/>
      <c r="AJ33" s="0" t="n">
        <v>0.986117573927898</v>
      </c>
      <c r="AK33" s="0" t="n">
        <v>0.000145527744253</v>
      </c>
      <c r="AL33" s="0" t="n">
        <f aca="false">AK33-0.0000470557218133333</f>
        <v>9.84720224396667E-005</v>
      </c>
      <c r="AM33" s="0" t="n">
        <v>0.441926505364937</v>
      </c>
      <c r="AN33" s="0" t="n">
        <v>0.210785533207298</v>
      </c>
      <c r="AO33" s="0" t="n">
        <v>8.89793357901667E-005</v>
      </c>
      <c r="AP33" s="0" t="n">
        <v>0.986117573927898</v>
      </c>
      <c r="AQ33" s="0" t="n">
        <v>0.000144783312585</v>
      </c>
      <c r="AR33" s="0" t="n">
        <f aca="false">AQ33-0.0000470557218133333</f>
        <v>9.77275907716667E-005</v>
      </c>
      <c r="AS33" s="0" t="n">
        <v>0.467225958216128</v>
      </c>
      <c r="AT33" s="0" t="n">
        <v>0.482009002431744</v>
      </c>
      <c r="AU33" s="3" t="n">
        <v>0.0346719470339266</v>
      </c>
      <c r="AV33" s="0" t="n">
        <v>0.44673033270991</v>
      </c>
      <c r="AW33" s="0" t="n">
        <v>0.000172053104557667</v>
      </c>
      <c r="AZ33" s="0" t="n">
        <v>0.224649990865788</v>
      </c>
      <c r="BA33" s="0" t="n">
        <v>0.202249990865788</v>
      </c>
      <c r="BC33" s="0" t="n">
        <v>0.159700218744723</v>
      </c>
      <c r="BD33" s="0" t="n">
        <f aca="false">BC33-0.0224</f>
        <v>0.137300218744723</v>
      </c>
      <c r="BE33" s="0" t="n">
        <v>0.0766392773915598</v>
      </c>
      <c r="BF33" s="3" t="n">
        <v>0.0318392773915598</v>
      </c>
      <c r="BG33" s="0" t="n">
        <v>0.0275396546370363</v>
      </c>
      <c r="BH33" s="0" t="n">
        <f aca="false">M33/BG33</f>
        <v>0.847546121893774</v>
      </c>
      <c r="BI33" s="0" t="n">
        <v>0.00465636027959064</v>
      </c>
      <c r="BJ33" s="0" t="n">
        <v>0.558807917561083</v>
      </c>
      <c r="BK33" s="0" t="n">
        <v>0</v>
      </c>
      <c r="BL33" s="0" t="n">
        <v>0</v>
      </c>
      <c r="BM33" s="0" t="n">
        <v>0</v>
      </c>
      <c r="BN33" s="0" t="e">
        <f aca="false">#REF!/#REF!</f>
        <v>#REF!</v>
      </c>
      <c r="BO33" s="0" t="n">
        <v>0.0380041653816</v>
      </c>
    </row>
    <row r="34" customFormat="false" ht="12.8" hidden="false" customHeight="false" outlineLevel="0" collapsed="false">
      <c r="A34" s="0" t="s">
        <v>87</v>
      </c>
      <c r="B34" s="0" t="s">
        <v>50</v>
      </c>
      <c r="C34" s="0" t="s">
        <v>59</v>
      </c>
      <c r="D34" s="0" t="s">
        <v>52</v>
      </c>
      <c r="E34" s="0" t="n">
        <v>0.06178</v>
      </c>
      <c r="F34" s="0" t="n">
        <v>0.916025</v>
      </c>
      <c r="G34" s="0" t="n">
        <v>280</v>
      </c>
      <c r="H34" s="0" t="n">
        <v>240</v>
      </c>
      <c r="I34" s="0" t="s">
        <v>55</v>
      </c>
      <c r="J34" s="0" t="n">
        <v>0</v>
      </c>
      <c r="K34" s="0" t="n">
        <v>0.1736116</v>
      </c>
      <c r="L34" s="0" t="n">
        <v>0.0143969473927557</v>
      </c>
      <c r="M34" s="1" t="n">
        <v>0.0166954747645226</v>
      </c>
      <c r="N34" s="0" t="n">
        <v>0.150002150437334</v>
      </c>
      <c r="O34" s="0" t="n">
        <v>0.161447532895239</v>
      </c>
      <c r="P34" s="0" t="n">
        <v>0.130568110693705</v>
      </c>
      <c r="Q34" s="0" t="n">
        <v>0.187876670342616</v>
      </c>
      <c r="R34" s="11" t="n">
        <v>0.0419723840616</v>
      </c>
      <c r="S34" s="0" t="n">
        <v>0.0275763115547951</v>
      </c>
      <c r="T34" s="0" t="n">
        <v>5.89101085286667E-005</v>
      </c>
      <c r="U34" s="0" t="n">
        <v>0.000105965830342</v>
      </c>
      <c r="V34" s="0" t="n">
        <v>5.94754059936667E-005</v>
      </c>
      <c r="Z34" s="1"/>
      <c r="AA34" s="1"/>
      <c r="AB34" s="11"/>
      <c r="AJ34" s="0" t="n">
        <v>0.576411917328114</v>
      </c>
      <c r="AK34" s="0" t="n">
        <v>0.000106531127807</v>
      </c>
      <c r="AL34" s="0" t="n">
        <f aca="false">AK34-0.0000470557218133333</f>
        <v>5.94754059936667E-005</v>
      </c>
      <c r="AM34" s="0" t="n">
        <v>0.855190932515119</v>
      </c>
      <c r="AN34" s="0" t="n">
        <v>0.1264601510511</v>
      </c>
      <c r="AO34" s="0" t="n">
        <v>5.89101085286667E-005</v>
      </c>
      <c r="AP34" s="0" t="n">
        <v>0.576411917328114</v>
      </c>
      <c r="AQ34" s="0" t="n">
        <v>0.000106531127807</v>
      </c>
      <c r="AR34" s="0" t="n">
        <f aca="false">AQ34-0.0000470557218133333</f>
        <v>5.94754059936667E-005</v>
      </c>
      <c r="AS34" s="0" t="n">
        <v>0.855190932515119</v>
      </c>
      <c r="AT34" s="0" t="n">
        <v>0.252920302102201</v>
      </c>
      <c r="AU34" s="3" t="n">
        <v>0.0326950570105882</v>
      </c>
      <c r="AV34" s="0" t="n">
        <v>0.244050543645525</v>
      </c>
      <c r="AW34" s="0" t="n">
        <v>0.000174332666698667</v>
      </c>
      <c r="AZ34" s="0" t="n">
        <v>0.178674264517366</v>
      </c>
      <c r="BA34" s="0" t="n">
        <v>0.156274264517366</v>
      </c>
      <c r="BC34" s="0" t="n">
        <v>0.152968110693705</v>
      </c>
      <c r="BD34" s="0" t="n">
        <f aca="false">BC34-0.0224</f>
        <v>0.130568110693705</v>
      </c>
      <c r="BE34" s="0" t="n">
        <v>0.0805407568159863</v>
      </c>
      <c r="BF34" s="3" t="n">
        <v>0.0357407568159863</v>
      </c>
      <c r="BG34" s="0" t="n">
        <v>0.0216164790509201</v>
      </c>
      <c r="BH34" s="0" t="n">
        <f aca="false">M34/BG34</f>
        <v>0.772349406450259</v>
      </c>
      <c r="BI34" s="0" t="n">
        <v>0.0176561573038834</v>
      </c>
      <c r="BJ34" s="0" t="n">
        <v>0.537532796271838</v>
      </c>
      <c r="BK34" s="0" t="n">
        <v>0</v>
      </c>
      <c r="BL34" s="0" t="n">
        <v>0</v>
      </c>
      <c r="BM34" s="0" t="n">
        <v>0</v>
      </c>
      <c r="BN34" s="0" t="e">
        <f aca="false">#REF!/#REF!</f>
        <v>#REF!</v>
      </c>
      <c r="BO34" s="0" t="n">
        <v>0.0342222345848</v>
      </c>
    </row>
    <row r="35" customFormat="false" ht="12.8" hidden="false" customHeight="false" outlineLevel="0" collapsed="false">
      <c r="A35" s="0" t="s">
        <v>88</v>
      </c>
      <c r="B35" s="0" t="s">
        <v>50</v>
      </c>
      <c r="C35" s="0" t="s">
        <v>59</v>
      </c>
      <c r="D35" s="0" t="s">
        <v>52</v>
      </c>
      <c r="E35" s="10" t="n">
        <v>0.1917</v>
      </c>
      <c r="F35" s="0" t="n">
        <v>2.34625</v>
      </c>
      <c r="G35" s="0" t="n">
        <v>456</v>
      </c>
      <c r="H35" s="0" t="n">
        <v>405</v>
      </c>
      <c r="I35" s="0" t="s">
        <v>55</v>
      </c>
      <c r="J35" s="0" t="n">
        <v>0</v>
      </c>
      <c r="K35" s="0" t="n">
        <v>0.1601595</v>
      </c>
      <c r="L35" s="0" t="n">
        <v>0.0225880005541528</v>
      </c>
      <c r="M35" s="1" t="n">
        <v>0.0227709591921165</v>
      </c>
      <c r="N35" s="0" t="n">
        <v>0.185679058259117</v>
      </c>
      <c r="O35" s="0" t="n">
        <v>0.219994515264219</v>
      </c>
      <c r="P35" s="0" t="n">
        <v>0.175257503093757</v>
      </c>
      <c r="Q35" s="0" t="n">
        <v>0.24612636570906</v>
      </c>
      <c r="R35" s="11" t="n">
        <v>0.0955580240312</v>
      </c>
      <c r="S35" s="0" t="n">
        <v>0.0729658546294591</v>
      </c>
      <c r="T35" s="0" t="n">
        <v>9.18977290466667E-005</v>
      </c>
      <c r="U35" s="0" t="n">
        <v>0.00013895345086</v>
      </c>
      <c r="V35" s="0" t="n">
        <v>0.000115415607389667</v>
      </c>
      <c r="Z35" s="1"/>
      <c r="AA35" s="1"/>
      <c r="AB35" s="11"/>
      <c r="AJ35" s="0" t="n">
        <v>1.55188303485125</v>
      </c>
      <c r="AK35" s="0" t="n">
        <v>0.000163543375349</v>
      </c>
      <c r="AL35" s="0" t="n">
        <f aca="false">AK35-0.0000470557218133333</f>
        <v>0.000116487653535667</v>
      </c>
      <c r="AM35" s="0" t="n">
        <v>0.690666918994862</v>
      </c>
      <c r="AN35" s="0" t="n">
        <v>0.000242413680345348</v>
      </c>
      <c r="AO35" s="0" t="n">
        <v>9.18555959466667E-005</v>
      </c>
      <c r="AP35" s="0" t="n">
        <v>1.46447597779639</v>
      </c>
      <c r="AQ35" s="0" t="n">
        <v>0.000162471329203</v>
      </c>
      <c r="AR35" s="0" t="n">
        <f aca="false">AQ35-0.0000470557218133333</f>
        <v>0.000115415607389667</v>
      </c>
      <c r="AS35" s="0" t="n">
        <v>0.646952438364618</v>
      </c>
      <c r="AT35" s="0" t="n">
        <v>0.00160463211618713</v>
      </c>
      <c r="AU35" s="3" t="n">
        <v>0.0496793805308167</v>
      </c>
      <c r="AV35" s="0" t="n">
        <v>0.000272799184749603</v>
      </c>
      <c r="AW35" s="0" t="n">
        <v>0.000173712850064667</v>
      </c>
      <c r="AZ35" s="0" t="n">
        <v>0.181839113123321</v>
      </c>
      <c r="BA35" s="0" t="n">
        <v>0.159439113123321</v>
      </c>
      <c r="BC35" s="0" t="n">
        <v>0.197657503093757</v>
      </c>
      <c r="BD35" s="0" t="n">
        <f aca="false">BC35-0.0224</f>
        <v>0.175257503093757</v>
      </c>
      <c r="BE35" s="0" t="n">
        <v>0.103757156640076</v>
      </c>
      <c r="BF35" s="3" t="n">
        <v>0.058957156640076</v>
      </c>
      <c r="BG35" s="0" t="n">
        <v>0.0297510468074766</v>
      </c>
      <c r="BH35" s="0" t="n">
        <f aca="false">M35/BG35</f>
        <v>0.765383461612989</v>
      </c>
      <c r="BI35" s="0" t="n">
        <v>8.62361201130893E-005</v>
      </c>
      <c r="BJ35" s="0" t="n">
        <v>0.554283425765088</v>
      </c>
      <c r="BK35" s="0" t="n">
        <v>0</v>
      </c>
      <c r="BL35" s="0" t="n">
        <v>0</v>
      </c>
      <c r="BM35" s="0" t="n">
        <v>0</v>
      </c>
      <c r="BN35" s="0" t="e">
        <f aca="false">#REF!/#REF!</f>
        <v>#REF!</v>
      </c>
      <c r="BO35" s="0" t="n">
        <v>0.0859376569448</v>
      </c>
    </row>
    <row r="36" customFormat="false" ht="12.8" hidden="false" customHeight="false" outlineLevel="0" collapsed="false">
      <c r="A36" s="0" t="s">
        <v>89</v>
      </c>
      <c r="B36" s="0" t="s">
        <v>50</v>
      </c>
      <c r="C36" s="0" t="s">
        <v>51</v>
      </c>
      <c r="D36" s="0" t="s">
        <v>52</v>
      </c>
      <c r="E36" s="10" t="n">
        <v>0.493775</v>
      </c>
      <c r="F36" s="0" t="n">
        <v>4.226</v>
      </c>
      <c r="G36" s="0" t="n">
        <v>661</v>
      </c>
      <c r="H36" s="0" t="n">
        <v>620</v>
      </c>
      <c r="I36" s="0" t="s">
        <v>55</v>
      </c>
      <c r="J36" s="0" t="n">
        <v>0.0725017861</v>
      </c>
      <c r="K36" s="0" t="n">
        <v>0.2443682</v>
      </c>
      <c r="L36" s="0" t="n">
        <v>0.0376488854255992</v>
      </c>
      <c r="M36" s="1" t="n">
        <v>0.0312459885174427</v>
      </c>
      <c r="N36" s="0" t="n">
        <v>0.203291690374138</v>
      </c>
      <c r="O36" s="0" t="n">
        <v>0.295185025054662</v>
      </c>
      <c r="P36" s="0" t="n">
        <v>0.23240384306309</v>
      </c>
      <c r="Q36" s="0" t="n">
        <v>0.295113562702106</v>
      </c>
      <c r="R36" s="11" t="n">
        <v>0.285062289635</v>
      </c>
      <c r="S36" s="0" t="n">
        <v>0.247407168050069</v>
      </c>
      <c r="T36" s="0" t="n">
        <v>0.000144247017832333</v>
      </c>
      <c r="U36" s="0" t="n">
        <v>0.000198581054499</v>
      </c>
      <c r="V36" s="0" t="n">
        <v>0.000262776885756333</v>
      </c>
      <c r="Z36" s="1"/>
      <c r="AA36" s="1"/>
      <c r="AB36" s="11"/>
      <c r="AJ36" s="0" t="n">
        <v>2.82653771568598</v>
      </c>
      <c r="AK36" s="0" t="n">
        <v>0.000351683601421</v>
      </c>
      <c r="AL36" s="0" t="n">
        <f aca="false">AK36-0.0000543340366666667</f>
        <v>0.000297349564754333</v>
      </c>
      <c r="AM36" s="0" t="n">
        <v>2.06527150273081</v>
      </c>
      <c r="AN36" s="0" t="n">
        <v>1.4351939146894E-043</v>
      </c>
      <c r="AO36" s="0" t="n">
        <v>0.000143610323336333</v>
      </c>
      <c r="AP36" s="0" t="n">
        <v>2.93549509346869</v>
      </c>
      <c r="AQ36" s="0" t="n">
        <v>0.000317110922423</v>
      </c>
      <c r="AR36" s="0" t="n">
        <f aca="false">AQ36-0.0000543340366666667</f>
        <v>0.000262776885756333</v>
      </c>
      <c r="AS36" s="0" t="n">
        <v>0.697307600140562</v>
      </c>
      <c r="AT36" s="0" t="n">
        <v>4.58217288506272E-028</v>
      </c>
      <c r="AU36" s="3" t="n">
        <v>0.123250527700727</v>
      </c>
      <c r="AV36" s="0" t="n">
        <v>0.0388602194064441</v>
      </c>
      <c r="AW36" s="0" t="n">
        <v>0.000147582121170833</v>
      </c>
      <c r="AZ36" s="0" t="n">
        <v>0.176903226514789</v>
      </c>
      <c r="BA36" s="0" t="n">
        <v>0.153403226514789</v>
      </c>
      <c r="BC36" s="0" t="n">
        <v>0.25590384306309</v>
      </c>
      <c r="BD36" s="0" t="n">
        <f aca="false">BC36-0.0235</f>
        <v>0.23240384306309</v>
      </c>
      <c r="BE36" s="0" t="n">
        <v>0.17924266414373</v>
      </c>
      <c r="BF36" s="3" t="n">
        <v>0.13224266414373</v>
      </c>
      <c r="BG36" s="0" t="n">
        <v>0.0492255564817207</v>
      </c>
      <c r="BH36" s="0" t="n">
        <f aca="false">M36/BG36</f>
        <v>0.634751351750498</v>
      </c>
      <c r="BI36" s="0" t="n">
        <v>5.85174952267843E-026</v>
      </c>
      <c r="BJ36" s="0" t="n">
        <v>0.690823528400916</v>
      </c>
      <c r="BK36" s="0" t="n">
        <v>0.185064320667834</v>
      </c>
      <c r="BL36" s="0" t="n">
        <v>0.205877203356668</v>
      </c>
      <c r="BM36" s="0" t="n">
        <v>0.182377203356668</v>
      </c>
      <c r="BN36" s="0" t="e">
        <f aca="false">#REF!/#REF!</f>
        <v>#REF!</v>
      </c>
      <c r="BO36" s="0" t="n">
        <v>0.285214732235</v>
      </c>
    </row>
    <row r="37" customFormat="false" ht="12.8" hidden="false" customHeight="false" outlineLevel="0" collapsed="false">
      <c r="A37" s="0" t="s">
        <v>90</v>
      </c>
      <c r="B37" s="0" t="s">
        <v>50</v>
      </c>
      <c r="C37" s="0" t="s">
        <v>59</v>
      </c>
      <c r="D37" s="0" t="s">
        <v>52</v>
      </c>
      <c r="E37" s="10" t="n">
        <v>0.101045</v>
      </c>
      <c r="F37" s="0" t="n">
        <v>1.28525</v>
      </c>
      <c r="G37" s="0" t="n">
        <v>316</v>
      </c>
      <c r="H37" s="0" t="n">
        <v>273</v>
      </c>
      <c r="I37" s="0" t="s">
        <v>53</v>
      </c>
      <c r="J37" s="0" t="n">
        <v>0</v>
      </c>
      <c r="K37" s="0" t="n">
        <v>0.045781</v>
      </c>
      <c r="L37" s="0" t="n">
        <v>0.0156391898878009</v>
      </c>
      <c r="M37" s="1" t="n">
        <v>0.0176107895008371</v>
      </c>
      <c r="N37" s="0" t="n">
        <v>0.204721923658349</v>
      </c>
      <c r="O37" s="0" t="n">
        <v>0.182005205189825</v>
      </c>
      <c r="P37" s="0" t="n">
        <v>0.135400153639461</v>
      </c>
      <c r="Q37" s="0" t="n">
        <v>0.204472992225469</v>
      </c>
      <c r="R37" s="11" t="n">
        <v>0.0597662734488</v>
      </c>
      <c r="S37" s="0" t="n">
        <v>0.0441260001512963</v>
      </c>
      <c r="T37" s="0" t="n">
        <v>4.38538974449667E-005</v>
      </c>
      <c r="U37" s="0" t="n">
        <v>9.09096192583E-005</v>
      </c>
      <c r="V37" s="0" t="n">
        <v>9.62308510401667E-005</v>
      </c>
      <c r="Z37" s="1"/>
      <c r="AA37" s="1"/>
      <c r="AB37" s="11"/>
      <c r="AJ37" s="0" t="n">
        <v>1.25084348749887</v>
      </c>
      <c r="AK37" s="0" t="n">
        <v>0.000144621967953</v>
      </c>
      <c r="AL37" s="0" t="n">
        <f aca="false">AK37-0.0000470557218133333</f>
        <v>9.75662461396667E-005</v>
      </c>
      <c r="AM37" s="0" t="n">
        <v>1.02160487613962</v>
      </c>
      <c r="AN37" s="0" t="n">
        <v>4.37297847031E-009</v>
      </c>
      <c r="AO37" s="0" t="n">
        <v>4.36826103365167E-005</v>
      </c>
      <c r="AP37" s="0" t="n">
        <v>1.20613323631549</v>
      </c>
      <c r="AQ37" s="0" t="n">
        <v>0.0001432865728535</v>
      </c>
      <c r="AR37" s="0" t="n">
        <f aca="false">AQ37-0.0000470557218133333</f>
        <v>9.62308510401667E-005</v>
      </c>
      <c r="AS37" s="0" t="n">
        <v>1.05704777074039</v>
      </c>
      <c r="AT37" s="0" t="n">
        <v>7.69053619454E-009</v>
      </c>
      <c r="AU37" s="3" t="n">
        <v>0.0374426677436814</v>
      </c>
      <c r="AV37" s="0" t="n">
        <v>2.42683825735983E-005</v>
      </c>
      <c r="AW37" s="0" t="n">
        <v>0.000120428818556167</v>
      </c>
      <c r="AZ37" s="0" t="n">
        <v>0.274039393536645</v>
      </c>
      <c r="BA37" s="0" t="n">
        <v>0.251639393536645</v>
      </c>
      <c r="BC37" s="0" t="n">
        <v>0.157800153639461</v>
      </c>
      <c r="BD37" s="0" t="n">
        <f aca="false">BC37-0.0224</f>
        <v>0.135400153639461</v>
      </c>
      <c r="BE37" s="0" t="n">
        <v>0.0964739215352451</v>
      </c>
      <c r="BF37" s="3" t="n">
        <v>0.0516739215352451</v>
      </c>
      <c r="BG37" s="0" t="n">
        <v>0.0294032855404099</v>
      </c>
      <c r="BH37" s="0" t="n">
        <f aca="false">M37/BG37</f>
        <v>0.598939512274369</v>
      </c>
      <c r="BI37" s="0" t="n">
        <v>4.04373017182E-008</v>
      </c>
      <c r="BJ37" s="0" t="n">
        <v>0.637621827303277</v>
      </c>
      <c r="BK37" s="0" t="n">
        <v>0</v>
      </c>
      <c r="BL37" s="0" t="n">
        <v>0</v>
      </c>
      <c r="BM37" s="0" t="n">
        <v>0</v>
      </c>
      <c r="BN37" s="0" t="e">
        <f aca="false">#REF!/#REF!</f>
        <v>#REF!</v>
      </c>
      <c r="BO37" s="0" t="n">
        <v>0.0523907382888</v>
      </c>
    </row>
    <row r="38" customFormat="false" ht="12.8" hidden="false" customHeight="false" outlineLevel="0" collapsed="false">
      <c r="A38" s="0" t="s">
        <v>91</v>
      </c>
      <c r="B38" s="0" t="s">
        <v>50</v>
      </c>
      <c r="C38" s="0" t="s">
        <v>51</v>
      </c>
      <c r="D38" s="0" t="s">
        <v>52</v>
      </c>
      <c r="E38" s="10" t="n">
        <v>0.329425</v>
      </c>
      <c r="F38" s="0" t="n">
        <v>3.0495</v>
      </c>
      <c r="G38" s="0" t="n">
        <v>730</v>
      </c>
      <c r="H38" s="0" t="n">
        <v>684</v>
      </c>
      <c r="I38" s="0" t="s">
        <v>55</v>
      </c>
      <c r="J38" s="0" t="n">
        <v>0.0352870561</v>
      </c>
      <c r="K38" s="0" t="n">
        <v>0.2627236</v>
      </c>
      <c r="L38" s="0" t="n">
        <v>0.0415306590179609</v>
      </c>
      <c r="M38" s="1" t="n">
        <v>0.019773075663192</v>
      </c>
      <c r="N38" s="0" t="n">
        <v>0.288179763026418</v>
      </c>
      <c r="O38" s="0" t="n">
        <v>0.329530165238362</v>
      </c>
      <c r="P38" s="0" t="n">
        <v>0.210225550697004</v>
      </c>
      <c r="Q38" s="0" t="n">
        <v>0.337094150696085</v>
      </c>
      <c r="R38" s="11" t="n">
        <v>0.233257924925</v>
      </c>
      <c r="S38" s="0" t="n">
        <v>0.191723472797357</v>
      </c>
      <c r="T38" s="0" t="n">
        <v>6.94448638043333E-005</v>
      </c>
      <c r="U38" s="0" t="n">
        <v>0.000123778900471</v>
      </c>
      <c r="V38" s="0" t="n">
        <v>0.000163909952850333</v>
      </c>
      <c r="Z38" s="1"/>
      <c r="AA38" s="1"/>
      <c r="AB38" s="11"/>
      <c r="AJ38" s="0" t="n">
        <v>2.400086254858</v>
      </c>
      <c r="AK38" s="0" t="n">
        <v>0.000246376560368</v>
      </c>
      <c r="AL38" s="0" t="n">
        <f aca="false">AK38-0.0000543340366666667</f>
        <v>0.000192042523701333</v>
      </c>
      <c r="AM38" s="0" t="n">
        <v>2.49701453892124</v>
      </c>
      <c r="AN38" s="0" t="n">
        <v>2.52629438595286E-058</v>
      </c>
      <c r="AO38" s="0" t="n">
        <v>6.94448638043333E-005</v>
      </c>
      <c r="AP38" s="0" t="n">
        <v>2.02515035554312</v>
      </c>
      <c r="AQ38" s="0" t="n">
        <v>0.000218243989517</v>
      </c>
      <c r="AR38" s="0" t="n">
        <f aca="false">AQ38-0.0000543340366666667</f>
        <v>0.000163909952850333</v>
      </c>
      <c r="AS38" s="0" t="n">
        <v>0.921189605534756</v>
      </c>
      <c r="AT38" s="0" t="n">
        <v>1.7508128757431E-039</v>
      </c>
      <c r="AU38" s="3" t="n">
        <v>0.093552255528491</v>
      </c>
      <c r="AV38" s="0" t="n">
        <v>0.460230791167255</v>
      </c>
      <c r="AW38" s="0" t="n">
        <v>0.000112786868292333</v>
      </c>
      <c r="AZ38" s="0" t="n">
        <v>0.174427930746222</v>
      </c>
      <c r="BA38" s="0" t="n">
        <v>0.150927930746222</v>
      </c>
      <c r="BC38" s="0" t="n">
        <v>0.233725550697004</v>
      </c>
      <c r="BD38" s="0" t="n">
        <f aca="false">BC38-0.0235</f>
        <v>0.210225550697004</v>
      </c>
      <c r="BE38" s="0" t="n">
        <v>0.144134423020071</v>
      </c>
      <c r="BF38" s="3" t="n">
        <v>0.097134423020071</v>
      </c>
      <c r="BG38" s="0" t="n">
        <v>0.0388509656126453</v>
      </c>
      <c r="BH38" s="0" t="n">
        <f aca="false">M38/BG38</f>
        <v>0.508946826710434</v>
      </c>
      <c r="BI38" s="0" t="n">
        <v>1.73186455980375E-041</v>
      </c>
      <c r="BJ38" s="0" t="n">
        <v>0.630640067274186</v>
      </c>
      <c r="BK38" s="0" t="n">
        <v>0.203247238894486</v>
      </c>
      <c r="BL38" s="0" t="n">
        <v>0.218313640619153</v>
      </c>
      <c r="BM38" s="0" t="n">
        <v>0.194813640619153</v>
      </c>
      <c r="BN38" s="0" t="e">
        <f aca="false">#REF!/#REF!</f>
        <v>#REF!</v>
      </c>
      <c r="BO38" s="0" t="n">
        <v>0.226139650395</v>
      </c>
    </row>
    <row r="39" customFormat="false" ht="12.8" hidden="false" customHeight="false" outlineLevel="0" collapsed="false">
      <c r="A39" s="0" t="s">
        <v>92</v>
      </c>
      <c r="B39" s="0" t="s">
        <v>50</v>
      </c>
      <c r="C39" s="0" t="s">
        <v>59</v>
      </c>
      <c r="D39" s="0" t="s">
        <v>52</v>
      </c>
      <c r="E39" s="10" t="n">
        <v>0.111425</v>
      </c>
      <c r="F39" s="0" t="n">
        <v>1.44375</v>
      </c>
      <c r="G39" s="0" t="n">
        <v>283</v>
      </c>
      <c r="H39" s="0" t="n">
        <v>242</v>
      </c>
      <c r="I39" s="0" t="s">
        <v>53</v>
      </c>
      <c r="J39" s="0" t="n">
        <v>0</v>
      </c>
      <c r="K39" s="0" t="n">
        <v>0.056088</v>
      </c>
      <c r="L39" s="0" t="n">
        <v>0.0140472123072726</v>
      </c>
      <c r="M39" s="1" t="n">
        <v>0.01872182317715</v>
      </c>
      <c r="N39" s="0" t="n">
        <v>0.194016393045479</v>
      </c>
      <c r="O39" s="0" t="n">
        <v>0.17617841810601</v>
      </c>
      <c r="P39" s="0" t="n">
        <v>0.131974571360292</v>
      </c>
      <c r="Q39" s="0" t="n">
        <v>0.217295141862902</v>
      </c>
      <c r="R39" s="11" t="n">
        <v>0.047684698516</v>
      </c>
      <c r="S39" s="0" t="n">
        <v>0.033633436254898</v>
      </c>
      <c r="T39" s="0" t="n">
        <v>5.27272944702667E-005</v>
      </c>
      <c r="U39" s="0" t="n">
        <v>9.97830162836E-005</v>
      </c>
      <c r="V39" s="0" t="n">
        <v>8.33720087696667E-005</v>
      </c>
      <c r="Z39" s="1"/>
      <c r="AA39" s="1"/>
      <c r="AB39" s="11"/>
      <c r="AJ39" s="0" t="n">
        <v>1.56041690399098</v>
      </c>
      <c r="AK39" s="0" t="n">
        <v>0.000130427730583</v>
      </c>
      <c r="AL39" s="0" t="n">
        <f aca="false">AK39-0.0000470557218133333</f>
        <v>8.33720087696667E-005</v>
      </c>
      <c r="AM39" s="0" t="n">
        <v>0.859430950160834</v>
      </c>
      <c r="AN39" s="0" t="n">
        <v>8.59838843566599E-005</v>
      </c>
      <c r="AO39" s="0" t="n">
        <v>5.27272944702667E-005</v>
      </c>
      <c r="AP39" s="0" t="n">
        <v>1.56041690399098</v>
      </c>
      <c r="AQ39" s="0" t="n">
        <v>0.000130427730583</v>
      </c>
      <c r="AR39" s="0" t="n">
        <f aca="false">AQ39-0.0000470557218133333</f>
        <v>8.33720087696667E-005</v>
      </c>
      <c r="AS39" s="0" t="n">
        <v>0.859430950160834</v>
      </c>
      <c r="AT39" s="0" t="n">
        <v>0.00017196776871332</v>
      </c>
      <c r="AU39" s="3" t="n">
        <v>0.0307112324831023</v>
      </c>
      <c r="AV39" s="0" t="n">
        <v>0.000390480967566618</v>
      </c>
      <c r="AW39" s="0" t="n">
        <v>0.000153529513039667</v>
      </c>
      <c r="AZ39" s="0" t="n">
        <v>0.238959326561488</v>
      </c>
      <c r="BA39" s="0" t="n">
        <v>0.216559326561488</v>
      </c>
      <c r="BC39" s="0" t="n">
        <v>0.154374571360292</v>
      </c>
      <c r="BD39" s="0" t="n">
        <f aca="false">BC39-0.0224</f>
        <v>0.131974571360292</v>
      </c>
      <c r="BE39" s="0" t="n">
        <v>0.0858686429396016</v>
      </c>
      <c r="BF39" s="3" t="n">
        <v>0.0410686429396016</v>
      </c>
      <c r="BG39" s="0" t="n">
        <v>0.0252086032807127</v>
      </c>
      <c r="BH39" s="0" t="n">
        <f aca="false">M39/BG39</f>
        <v>0.74267594156929</v>
      </c>
      <c r="BI39" s="0" t="n">
        <v>1.35064716532334E-005</v>
      </c>
      <c r="BJ39" s="0" t="n">
        <v>0.587400863221927</v>
      </c>
      <c r="BK39" s="0" t="n">
        <v>0</v>
      </c>
      <c r="BL39" s="0" t="n">
        <v>0</v>
      </c>
      <c r="BM39" s="0" t="n">
        <v>0</v>
      </c>
      <c r="BN39" s="0" t="e">
        <f aca="false">#REF!/#REF!</f>
        <v>#REF!</v>
      </c>
      <c r="BO39" s="0" t="n">
        <v>0.0401873905768</v>
      </c>
    </row>
    <row r="40" customFormat="false" ht="12.8" hidden="false" customHeight="false" outlineLevel="0" collapsed="false">
      <c r="A40" s="0" t="s">
        <v>93</v>
      </c>
      <c r="B40" s="0" t="s">
        <v>50</v>
      </c>
      <c r="C40" s="0" t="s">
        <v>59</v>
      </c>
      <c r="D40" s="0" t="s">
        <v>52</v>
      </c>
      <c r="E40" s="10" t="n">
        <v>0.0912475</v>
      </c>
      <c r="F40" s="0" t="n">
        <v>1.24925</v>
      </c>
      <c r="G40" s="0" t="n">
        <v>150</v>
      </c>
      <c r="H40" s="0" t="n">
        <v>115</v>
      </c>
      <c r="I40" s="0" t="s">
        <v>53</v>
      </c>
      <c r="J40" s="0" t="n">
        <v>0</v>
      </c>
      <c r="K40" s="0" t="n">
        <v>0.038905</v>
      </c>
      <c r="L40" s="0" t="n">
        <v>0.00745259192066771</v>
      </c>
      <c r="M40" s="1" t="n">
        <v>0.0317435390494722</v>
      </c>
      <c r="N40" s="0" t="n">
        <v>0.150576078388229</v>
      </c>
      <c r="O40" s="0" t="n">
        <v>0.1811375100537</v>
      </c>
      <c r="P40" s="0" t="n">
        <v>0.127814416564496</v>
      </c>
      <c r="Q40" s="0" t="n">
        <v>0.168254844513114</v>
      </c>
      <c r="R40" s="11" t="n">
        <v>0.0396169395512</v>
      </c>
      <c r="S40" s="0" t="n">
        <v>0.0321706375923304</v>
      </c>
      <c r="T40" s="0" t="n">
        <v>9.10624395151667E-005</v>
      </c>
      <c r="U40" s="0" t="n">
        <v>0.0001381181613285</v>
      </c>
      <c r="V40" s="0" t="n">
        <v>0.000140621553142667</v>
      </c>
      <c r="Z40" s="1"/>
      <c r="AA40" s="1"/>
      <c r="AB40" s="11"/>
      <c r="AJ40" s="0" t="n">
        <v>1.23337866909752</v>
      </c>
      <c r="AK40" s="0" t="n">
        <v>0.000187677274956</v>
      </c>
      <c r="AL40" s="0" t="n">
        <f aca="false">AK40-0.0000470557218133333</f>
        <v>0.000140621553142667</v>
      </c>
      <c r="AM40" s="0" t="n">
        <v>1.0468418475822</v>
      </c>
      <c r="AN40" s="0" t="n">
        <v>0.000834079276035039</v>
      </c>
      <c r="AO40" s="0" t="n">
        <v>9.10624395151667E-005</v>
      </c>
      <c r="AP40" s="0" t="n">
        <v>1.23337866909752</v>
      </c>
      <c r="AQ40" s="0" t="n">
        <v>0.000187677274956</v>
      </c>
      <c r="AR40" s="0" t="n">
        <f aca="false">AQ40-0.0000470557218133333</f>
        <v>0.000140621553142667</v>
      </c>
      <c r="AS40" s="0" t="n">
        <v>1.0468418475822</v>
      </c>
      <c r="AT40" s="0" t="n">
        <v>0.00166815855207008</v>
      </c>
      <c r="AU40" s="3" t="n">
        <v>0.0307133640537691</v>
      </c>
      <c r="AV40" s="0" t="n">
        <v>0.120735784005212</v>
      </c>
      <c r="AW40" s="0" t="n">
        <v>0.000131603492638667</v>
      </c>
      <c r="AZ40" s="0" t="n">
        <v>0.205556543095091</v>
      </c>
      <c r="BA40" s="0" t="n">
        <v>0.183156543095091</v>
      </c>
      <c r="BC40" s="0" t="n">
        <v>0.150214416564496</v>
      </c>
      <c r="BD40" s="0" t="n">
        <f aca="false">BC40-0.0224</f>
        <v>0.127814416564496</v>
      </c>
      <c r="BE40" s="0" t="n">
        <v>0.0785624895619411</v>
      </c>
      <c r="BF40" s="3" t="n">
        <v>0.0337624895619411</v>
      </c>
      <c r="BG40" s="0" t="n">
        <v>0.0398904837524423</v>
      </c>
      <c r="BH40" s="0" t="n">
        <f aca="false">M40/BG40</f>
        <v>0.795767212212078</v>
      </c>
      <c r="BI40" s="0" t="n">
        <v>0.00181976364786983</v>
      </c>
      <c r="BJ40" s="0" t="n">
        <v>0.586230671708568</v>
      </c>
      <c r="BK40" s="0" t="n">
        <v>0</v>
      </c>
      <c r="BL40" s="0" t="n">
        <v>0</v>
      </c>
      <c r="BM40" s="0" t="n">
        <v>0</v>
      </c>
      <c r="BN40" s="0" t="e">
        <f aca="false">#REF!/#REF!</f>
        <v>#REF!</v>
      </c>
      <c r="BO40" s="0" t="n">
        <v>0.034174283008</v>
      </c>
    </row>
    <row r="41" customFormat="false" ht="12.8" hidden="false" customHeight="false" outlineLevel="0" collapsed="false">
      <c r="A41" s="0" t="s">
        <v>94</v>
      </c>
      <c r="B41" s="0" t="s">
        <v>50</v>
      </c>
      <c r="C41" s="0" t="s">
        <v>59</v>
      </c>
      <c r="D41" s="0" t="s">
        <v>52</v>
      </c>
      <c r="E41" s="10" t="n">
        <v>0.206575</v>
      </c>
      <c r="F41" s="0" t="n">
        <v>1.96475</v>
      </c>
      <c r="G41" s="0" t="n">
        <v>532</v>
      </c>
      <c r="H41" s="0" t="n">
        <v>483</v>
      </c>
      <c r="I41" s="0" t="s">
        <v>55</v>
      </c>
      <c r="J41" s="0" t="n">
        <v>0</v>
      </c>
      <c r="K41" s="0" t="n">
        <v>0.0918501</v>
      </c>
      <c r="L41" s="0" t="n">
        <v>0.0263160997286304</v>
      </c>
      <c r="M41" s="1" t="n">
        <v>0.0208342180453889</v>
      </c>
      <c r="N41" s="0" t="n">
        <v>0.246871967631829</v>
      </c>
      <c r="O41" s="0" t="n">
        <v>0.21511898108546</v>
      </c>
      <c r="P41" s="0" t="n">
        <v>0.174804763347686</v>
      </c>
      <c r="Q41" s="0" t="n">
        <v>0.293387790107316</v>
      </c>
      <c r="R41" s="11" t="n">
        <v>0.118953570944</v>
      </c>
      <c r="S41" s="0" t="n">
        <v>0.0926418551604043</v>
      </c>
      <c r="T41" s="0" t="n">
        <v>7.85720443671667E-005</v>
      </c>
      <c r="U41" s="0" t="n">
        <v>0.0001256277661805</v>
      </c>
      <c r="V41" s="0" t="n">
        <v>0.000127015685010667</v>
      </c>
      <c r="Z41" s="1"/>
      <c r="AA41" s="1"/>
      <c r="AB41" s="11"/>
      <c r="AJ41" s="0" t="n">
        <v>2.13536936766927</v>
      </c>
      <c r="AK41" s="0" t="n">
        <v>0.000174071406824</v>
      </c>
      <c r="AL41" s="0" t="n">
        <f aca="false">AK41-0.0000470557218133333</f>
        <v>0.000127015685010667</v>
      </c>
      <c r="AM41" s="0" t="n">
        <v>1.00196532425824</v>
      </c>
      <c r="AN41" s="0" t="n">
        <v>7.392996633059E-016</v>
      </c>
      <c r="AO41" s="0" t="n">
        <v>7.85720443671667E-005</v>
      </c>
      <c r="AP41" s="0" t="n">
        <v>2.13536936766927</v>
      </c>
      <c r="AQ41" s="0" t="n">
        <v>0.000174071406824</v>
      </c>
      <c r="AR41" s="0" t="n">
        <f aca="false">AQ41-0.0000470557218133333</f>
        <v>0.000127015685010667</v>
      </c>
      <c r="AS41" s="0" t="n">
        <v>1.00196532425824</v>
      </c>
      <c r="AT41" s="0" t="n">
        <v>1.4785993266118E-015</v>
      </c>
      <c r="AU41" s="3" t="n">
        <v>0.062527604099673</v>
      </c>
      <c r="AV41" s="0" t="n">
        <v>1.71337430784966E-006</v>
      </c>
      <c r="AW41" s="0" t="n">
        <v>0.000157742819896167</v>
      </c>
      <c r="AZ41" s="0" t="n">
        <v>0.262566972988708</v>
      </c>
      <c r="BA41" s="0" t="n">
        <v>0.240166972988708</v>
      </c>
      <c r="BC41" s="0" t="n">
        <v>0.197204763347686</v>
      </c>
      <c r="BD41" s="0" t="n">
        <f aca="false">BC41-0.0224</f>
        <v>0.174804763347686</v>
      </c>
      <c r="BE41" s="0" t="n">
        <v>0.116459984167723</v>
      </c>
      <c r="BF41" s="3" t="n">
        <v>0.071659984167723</v>
      </c>
      <c r="BG41" s="0" t="n">
        <v>0.0323447993597196</v>
      </c>
      <c r="BH41" s="0" t="n">
        <f aca="false">M41/BG41</f>
        <v>0.644128838571021</v>
      </c>
      <c r="BI41" s="0" t="n">
        <v>4.74324634791372E-018</v>
      </c>
      <c r="BJ41" s="0" t="n">
        <v>0.616789862232509</v>
      </c>
      <c r="BK41" s="0" t="n">
        <v>0</v>
      </c>
      <c r="BL41" s="0" t="n">
        <v>0</v>
      </c>
      <c r="BM41" s="0" t="n">
        <v>0</v>
      </c>
      <c r="BN41" s="0" t="e">
        <f aca="false">#REF!/#REF!</f>
        <v>#REF!</v>
      </c>
      <c r="BO41" s="0" t="n">
        <v>0.108460837912</v>
      </c>
    </row>
    <row r="42" customFormat="false" ht="12.8" hidden="false" customHeight="false" outlineLevel="0" collapsed="false">
      <c r="A42" s="0" t="s">
        <v>95</v>
      </c>
      <c r="B42" s="0" t="s">
        <v>50</v>
      </c>
      <c r="C42" s="0" t="s">
        <v>51</v>
      </c>
      <c r="D42" s="0" t="s">
        <v>52</v>
      </c>
      <c r="E42" s="10" t="n">
        <v>0.1536</v>
      </c>
      <c r="F42" s="0" t="n">
        <v>1.8255</v>
      </c>
      <c r="G42" s="0" t="n">
        <v>115</v>
      </c>
      <c r="H42" s="0" t="n">
        <v>82</v>
      </c>
      <c r="I42" s="2" t="s">
        <v>53</v>
      </c>
      <c r="J42" s="2" t="n">
        <v>0.0294805001</v>
      </c>
      <c r="K42" s="2" t="n">
        <v>0.034251</v>
      </c>
      <c r="L42" s="2" t="n">
        <v>0.00656116571590092</v>
      </c>
      <c r="M42" s="1" t="n">
        <v>0.0498084467009825</v>
      </c>
      <c r="N42" s="0" t="n">
        <v>0.312132420963912</v>
      </c>
      <c r="O42" s="0" t="n">
        <v>0.31050099168109</v>
      </c>
      <c r="P42" s="2" t="n">
        <v>0.276612403418542</v>
      </c>
      <c r="Q42" s="0" t="n">
        <v>0.391479981116155</v>
      </c>
      <c r="R42" s="11" t="n">
        <v>0.05625183076</v>
      </c>
      <c r="S42" s="0" t="n">
        <v>0.04969100318757</v>
      </c>
      <c r="T42" s="0" t="n">
        <v>9.94353012433333E-005</v>
      </c>
      <c r="U42" s="0" t="n">
        <v>0.00015376933791</v>
      </c>
      <c r="V42" s="0" t="n">
        <v>0.000190568315894333</v>
      </c>
      <c r="Z42" s="1"/>
      <c r="AA42" s="1"/>
      <c r="AB42" s="11"/>
      <c r="AJ42" s="0" t="n">
        <v>1.33103607351364</v>
      </c>
      <c r="AK42" s="0" t="n">
        <v>0.000426369223164</v>
      </c>
      <c r="AL42" s="0" t="n">
        <f aca="false">AK42-0.0000543340366666667</f>
        <v>0.000372035186497333</v>
      </c>
      <c r="AM42" s="0" t="n">
        <v>0.875032457183623</v>
      </c>
      <c r="AN42" s="0" t="n">
        <v>0.0020376000457602</v>
      </c>
      <c r="AO42" s="0" t="n">
        <v>9.94353012433333E-005</v>
      </c>
      <c r="AP42" s="0" t="n">
        <v>1.33103607351364</v>
      </c>
      <c r="AQ42" s="0" t="n">
        <v>0.000244902352561</v>
      </c>
      <c r="AR42" s="0" t="n">
        <f aca="false">AQ42-0.0000543340366666667</f>
        <v>0.000190568315894333</v>
      </c>
      <c r="AS42" s="0" t="n">
        <v>-0.438001941314101</v>
      </c>
      <c r="AT42" s="0" t="n">
        <v>0.148989898989899</v>
      </c>
      <c r="AU42" s="3" t="n">
        <v>0.0460970855685912</v>
      </c>
      <c r="AV42" s="0" t="n">
        <v>0.0131561636676922</v>
      </c>
      <c r="AW42" s="0" t="n">
        <v>9.94353012433333E-005</v>
      </c>
      <c r="AZ42" s="0" t="n">
        <v>0.335632420963912</v>
      </c>
      <c r="BA42" s="0" t="n">
        <v>0.312132420963912</v>
      </c>
      <c r="BC42" s="0" t="n">
        <v>0.300112403418542</v>
      </c>
      <c r="BD42" s="0" t="n">
        <f aca="false">BC42-0.0235</f>
        <v>0.276612403418542</v>
      </c>
      <c r="BE42" s="0" t="n">
        <v>0.0769508705302689</v>
      </c>
      <c r="BF42" s="3" t="n">
        <v>0.0299508705302689</v>
      </c>
      <c r="BG42" s="0" t="n">
        <v>0.0681976108794093</v>
      </c>
      <c r="BH42" s="0" t="n">
        <f aca="false">M42/BG42</f>
        <v>0.730354715637422</v>
      </c>
      <c r="BI42" s="0" t="n">
        <v>0.0385408699788806</v>
      </c>
      <c r="BJ42" s="0" t="n">
        <v>0.274007426254429</v>
      </c>
      <c r="BK42" s="0" t="n">
        <v>0.134497123812016</v>
      </c>
      <c r="BL42" s="0" t="n">
        <v>0.0983850906376492</v>
      </c>
      <c r="BM42" s="0" t="n">
        <v>0.0748850906376492</v>
      </c>
      <c r="BN42" s="0" t="e">
        <f aca="false">#REF!/#REF!</f>
        <v>#REF!</v>
      </c>
      <c r="BO42" s="0" t="n">
        <v>0.05625183076</v>
      </c>
    </row>
    <row r="43" customFormat="false" ht="12.8" hidden="false" customHeight="false" outlineLevel="0" collapsed="false">
      <c r="A43" s="0" t="s">
        <v>96</v>
      </c>
      <c r="B43" s="0" t="s">
        <v>50</v>
      </c>
      <c r="C43" s="0" t="s">
        <v>59</v>
      </c>
      <c r="D43" s="0" t="s">
        <v>52</v>
      </c>
      <c r="E43" s="10" t="n">
        <v>0.1216</v>
      </c>
      <c r="F43" s="0" t="n">
        <v>1.442</v>
      </c>
      <c r="G43" s="0" t="n">
        <v>358</v>
      </c>
      <c r="H43" s="0" t="n">
        <v>307</v>
      </c>
      <c r="I43" s="0" t="s">
        <v>53</v>
      </c>
      <c r="J43" s="0" t="n">
        <v>0</v>
      </c>
      <c r="K43" s="0" t="n">
        <v>0.045486</v>
      </c>
      <c r="L43" s="0" t="n">
        <v>0.0177714908366058</v>
      </c>
      <c r="M43" s="1" t="n">
        <v>0.0229034856627263</v>
      </c>
      <c r="N43" s="0" t="n">
        <v>0.266115663534171</v>
      </c>
      <c r="O43" s="0" t="n">
        <v>0.194560344173073</v>
      </c>
      <c r="P43" s="0" t="n">
        <v>0.162277530466985</v>
      </c>
      <c r="Q43" s="0" t="n">
        <v>0.27104970571382</v>
      </c>
      <c r="R43" s="11" t="n">
        <v>0.0647047612776</v>
      </c>
      <c r="S43" s="0" t="n">
        <v>0.0469273611024962</v>
      </c>
      <c r="T43" s="0" t="n">
        <v>9.06311210286667E-005</v>
      </c>
      <c r="U43" s="0" t="n">
        <v>0.000137686842842</v>
      </c>
      <c r="V43" s="0" t="n">
        <v>8.78606026896667E-005</v>
      </c>
      <c r="Z43" s="1"/>
      <c r="AA43" s="1"/>
      <c r="AB43" s="11"/>
      <c r="AJ43" s="0" t="n">
        <v>2.56581993583881</v>
      </c>
      <c r="AK43" s="0" t="n">
        <v>0.000134916324503</v>
      </c>
      <c r="AL43" s="0" t="n">
        <f aca="false">AK43-0.0000470557218133333</f>
        <v>8.78606026896667E-005</v>
      </c>
      <c r="AM43" s="0" t="n">
        <v>0.763943308769015</v>
      </c>
      <c r="AN43" s="0" t="n">
        <v>0.481987403040269</v>
      </c>
      <c r="AO43" s="0" t="n">
        <v>9.06311210286667E-005</v>
      </c>
      <c r="AP43" s="0" t="n">
        <v>2.56581993583881</v>
      </c>
      <c r="AQ43" s="0" t="n">
        <v>0.000134916324503</v>
      </c>
      <c r="AR43" s="0" t="n">
        <f aca="false">AQ43-0.0000470557218133333</f>
        <v>8.78606026896667E-005</v>
      </c>
      <c r="AS43" s="0" t="n">
        <v>0.763943308769014</v>
      </c>
      <c r="AT43" s="0" t="n">
        <v>0.987864098370657</v>
      </c>
      <c r="AU43" s="3" t="n">
        <v>0.0364604761717771</v>
      </c>
      <c r="AV43" s="0" t="n">
        <v>0.0898295560496436</v>
      </c>
      <c r="AW43" s="0" t="n">
        <v>0.000234178577967667</v>
      </c>
      <c r="AZ43" s="0" t="n">
        <v>0.312510192512653</v>
      </c>
      <c r="BA43" s="0" t="n">
        <v>0.290110192512653</v>
      </c>
      <c r="BC43" s="0" t="n">
        <v>0.184677530466985</v>
      </c>
      <c r="BD43" s="0" t="n">
        <f aca="false">BC43-0.0224</f>
        <v>0.162277530466985</v>
      </c>
      <c r="BE43" s="0" t="n">
        <v>0.0864191854494493</v>
      </c>
      <c r="BF43" s="3" t="n">
        <v>0.0416191854494493</v>
      </c>
      <c r="BG43" s="0" t="n">
        <v>0.0274313683059822</v>
      </c>
      <c r="BH43" s="0" t="n">
        <f aca="false">M43/BG43</f>
        <v>0.834937776608524</v>
      </c>
      <c r="BI43" s="0" t="n">
        <v>0.0174516900082028</v>
      </c>
      <c r="BJ43" s="0" t="n">
        <v>0.484572720664727</v>
      </c>
      <c r="BK43" s="0" t="n">
        <v>0</v>
      </c>
      <c r="BL43" s="0" t="n">
        <v>0</v>
      </c>
      <c r="BM43" s="0" t="n">
        <v>0</v>
      </c>
      <c r="BN43" s="0" t="e">
        <f aca="false">#REF!/#REF!</f>
        <v>#REF!</v>
      </c>
      <c r="BO43" s="0" t="n">
        <v>0.0566944886168</v>
      </c>
    </row>
    <row r="44" customFormat="false" ht="12.8" hidden="false" customHeight="false" outlineLevel="0" collapsed="false">
      <c r="A44" s="0" t="s">
        <v>97</v>
      </c>
      <c r="B44" s="0" t="s">
        <v>50</v>
      </c>
      <c r="C44" s="0" t="s">
        <v>51</v>
      </c>
      <c r="D44" s="0" t="s">
        <v>52</v>
      </c>
      <c r="E44" s="10" t="n">
        <v>0.57315</v>
      </c>
      <c r="F44" s="0" t="n">
        <v>4.1205</v>
      </c>
      <c r="G44" s="0" t="n">
        <v>1353</v>
      </c>
      <c r="H44" s="0" t="n">
        <v>1290</v>
      </c>
      <c r="I44" s="0" t="s">
        <v>55</v>
      </c>
      <c r="J44" s="0" t="n">
        <v>0.035996452</v>
      </c>
      <c r="K44" s="0" t="n">
        <v>0.4996603</v>
      </c>
      <c r="L44" s="0" t="n">
        <v>0.0797083899043911</v>
      </c>
      <c r="M44" s="1" t="n">
        <v>0.0230300809024872</v>
      </c>
      <c r="N44" s="0" t="n">
        <v>0.226973621965752</v>
      </c>
      <c r="O44" s="0" t="n">
        <v>0.335803397003358</v>
      </c>
      <c r="P44" s="0" t="n">
        <v>0.282649565297238</v>
      </c>
      <c r="Q44" s="0" t="n">
        <v>0.346512056068172</v>
      </c>
      <c r="R44" s="11" t="n">
        <v>0.40576678058</v>
      </c>
      <c r="S44" s="0" t="n">
        <v>0.326062102927006</v>
      </c>
      <c r="T44" s="0" t="n">
        <v>0.000108018690511333</v>
      </c>
      <c r="U44" s="0" t="n">
        <v>0.000162352727178</v>
      </c>
      <c r="V44" s="0" t="n">
        <v>0.000180612573066333</v>
      </c>
      <c r="Z44" s="1"/>
      <c r="AA44" s="1"/>
      <c r="AB44" s="11"/>
      <c r="AJ44" s="0" t="n">
        <v>3.76729193666487</v>
      </c>
      <c r="AK44" s="0" t="n">
        <v>0.000243832584109</v>
      </c>
      <c r="AL44" s="0" t="n">
        <f aca="false">AK44-0.0000543340366666667</f>
        <v>0.000189498547442333</v>
      </c>
      <c r="AM44" s="0" t="n">
        <v>2.03159330633934</v>
      </c>
      <c r="AN44" s="0" t="n">
        <v>2.06180940922005E-065</v>
      </c>
      <c r="AO44" s="0" t="n">
        <v>0.000107916993770333</v>
      </c>
      <c r="AP44" s="0" t="n">
        <v>3.77836764680053</v>
      </c>
      <c r="AQ44" s="0" t="n">
        <v>0.000234946609733</v>
      </c>
      <c r="AR44" s="0" t="n">
        <f aca="false">AQ44-0.0000543340366666667</f>
        <v>0.000180612573066333</v>
      </c>
      <c r="AS44" s="0" t="n">
        <v>0.826012969969879</v>
      </c>
      <c r="AT44" s="0" t="n">
        <v>7.73849568034559E-055</v>
      </c>
      <c r="AU44" s="3" t="n">
        <v>0.108749347912527</v>
      </c>
      <c r="AV44" s="0" t="n">
        <v>1.5969604560076E-006</v>
      </c>
      <c r="AW44" s="0" t="n">
        <v>0.000181511960676833</v>
      </c>
      <c r="AZ44" s="0" t="n">
        <v>0.266232899386234</v>
      </c>
      <c r="BA44" s="0" t="n">
        <v>0.242732899386234</v>
      </c>
      <c r="BC44" s="0" t="n">
        <v>0.306149565297238</v>
      </c>
      <c r="BD44" s="0" t="n">
        <f aca="false">BC44-0.0235</f>
        <v>0.282649565297238</v>
      </c>
      <c r="BE44" s="0" t="n">
        <v>0.167195118951242</v>
      </c>
      <c r="BF44" s="3" t="n">
        <v>0.120195118951242</v>
      </c>
      <c r="BG44" s="0" t="n">
        <v>0.0372688522367677</v>
      </c>
      <c r="BH44" s="0" t="n">
        <f aca="false">M44/BG44</f>
        <v>0.617944463547681</v>
      </c>
      <c r="BI44" s="0" t="n">
        <v>1.21011607242843E-069</v>
      </c>
      <c r="BJ44" s="0" t="n">
        <v>0.544862653187985</v>
      </c>
      <c r="BK44" s="0" t="n">
        <v>0.256099931473053</v>
      </c>
      <c r="BL44" s="0" t="n">
        <v>0.328615995136734</v>
      </c>
      <c r="BM44" s="0" t="n">
        <v>0.305115995136734</v>
      </c>
      <c r="BN44" s="0" t="e">
        <f aca="false">#REF!/#REF!</f>
        <v>#REF!</v>
      </c>
      <c r="BO44" s="0" t="n">
        <v>0.38847183472</v>
      </c>
    </row>
    <row r="45" customFormat="false" ht="12.8" hidden="false" customHeight="false" outlineLevel="0" collapsed="false">
      <c r="A45" s="0" t="s">
        <v>98</v>
      </c>
      <c r="B45" s="0" t="s">
        <v>50</v>
      </c>
      <c r="C45" s="0" t="s">
        <v>51</v>
      </c>
      <c r="D45" s="0" t="s">
        <v>52</v>
      </c>
      <c r="E45" s="10" t="n">
        <v>1.1505</v>
      </c>
      <c r="F45" s="0" t="n">
        <v>6.7705</v>
      </c>
      <c r="G45" s="0" t="n">
        <v>2523</v>
      </c>
      <c r="H45" s="0" t="n">
        <v>2442</v>
      </c>
      <c r="I45" s="0" t="s">
        <v>55</v>
      </c>
      <c r="J45" s="0" t="n">
        <v>0.0851969048</v>
      </c>
      <c r="K45" s="0" t="n">
        <v>0.623794</v>
      </c>
      <c r="L45" s="0" t="n">
        <v>0.144959524586916</v>
      </c>
      <c r="M45" s="1" t="n">
        <v>0.0218967640624471</v>
      </c>
      <c r="N45" s="0" t="n">
        <v>0.329434824135819</v>
      </c>
      <c r="O45" s="0" t="n">
        <v>0.397822643274651</v>
      </c>
      <c r="P45" s="0" t="n">
        <v>0.339393145391667</v>
      </c>
      <c r="Q45" s="0" t="n">
        <v>0.360665306218318</v>
      </c>
      <c r="R45" s="11" t="n">
        <v>0.791552733745</v>
      </c>
      <c r="S45" s="0" t="n">
        <v>0.646570202837732</v>
      </c>
      <c r="T45" s="0" t="n">
        <v>0.000102817895463333</v>
      </c>
      <c r="U45" s="0" t="n">
        <v>0.00015715193213</v>
      </c>
      <c r="V45" s="0" t="n">
        <v>0.000193657541452333</v>
      </c>
      <c r="Z45" s="1"/>
      <c r="AA45" s="1"/>
      <c r="AB45" s="11"/>
      <c r="AJ45" s="0" t="n">
        <v>4.84682399319364</v>
      </c>
      <c r="AK45" s="0" t="n">
        <v>0.0002569269747985</v>
      </c>
      <c r="AL45" s="0" t="n">
        <f aca="false">AK45-0.0000543340366666667</f>
        <v>0.000202592938131833</v>
      </c>
      <c r="AM45" s="0" t="n">
        <v>100</v>
      </c>
      <c r="AN45" s="0" t="n">
        <v>4.01630420188275E-163</v>
      </c>
      <c r="AO45" s="0" t="n">
        <v>0.000102300769395333</v>
      </c>
      <c r="AP45" s="0" t="n">
        <v>3.82399233192702</v>
      </c>
      <c r="AQ45" s="0" t="n">
        <v>0.000247991578119</v>
      </c>
      <c r="AR45" s="0" t="n">
        <f aca="false">AQ45-0.0000543340366666667</f>
        <v>0.000193657541452333</v>
      </c>
      <c r="AS45" s="0" t="n">
        <v>0.739896442512675</v>
      </c>
      <c r="AT45" s="0" t="n">
        <v>3.05618607658312E-138</v>
      </c>
      <c r="AU45" s="3" t="n">
        <v>0.126741775562836</v>
      </c>
      <c r="AV45" s="0" t="n">
        <v>3.27390078639832E-037</v>
      </c>
      <c r="AW45" s="0" t="n">
        <v>0.000162801069460333</v>
      </c>
      <c r="AZ45" s="0" t="n">
        <v>0.315045902369717</v>
      </c>
      <c r="BA45" s="0" t="n">
        <v>0.291545902369717</v>
      </c>
      <c r="BC45" s="0" t="n">
        <v>0.362893145391667</v>
      </c>
      <c r="BD45" s="0" t="n">
        <f aca="false">BC45-0.0235</f>
        <v>0.339393145391667</v>
      </c>
      <c r="BE45" s="0" t="n">
        <v>0.210731469763345</v>
      </c>
      <c r="BF45" s="3" t="n">
        <v>0.163731469763345</v>
      </c>
      <c r="BG45" s="0" t="n">
        <v>0.0372598213068365</v>
      </c>
      <c r="BH45" s="0" t="n">
        <f aca="false">M45/BG45</f>
        <v>0.587677645636734</v>
      </c>
      <c r="BI45" s="0" t="n">
        <v>3.55696859902542E-142</v>
      </c>
      <c r="BJ45" s="0" t="n">
        <v>0.585829242065117</v>
      </c>
      <c r="BK45" s="0" t="n">
        <v>0.35993855281875</v>
      </c>
      <c r="BL45" s="0" t="n">
        <v>0.2698526157591</v>
      </c>
      <c r="BM45" s="0" t="n">
        <v>0.2463526157591</v>
      </c>
      <c r="BN45" s="0" t="e">
        <f aca="false">#REF!/#REF!</f>
        <v>#REF!</v>
      </c>
      <c r="BO45" s="0" t="n">
        <v>0.767461026915</v>
      </c>
    </row>
    <row r="46" customFormat="false" ht="12.8" hidden="false" customHeight="false" outlineLevel="0" collapsed="false">
      <c r="A46" s="0" t="s">
        <v>99</v>
      </c>
      <c r="B46" s="0" t="s">
        <v>50</v>
      </c>
      <c r="C46" s="0" t="s">
        <v>59</v>
      </c>
      <c r="D46" s="0" t="s">
        <v>52</v>
      </c>
      <c r="E46" s="10" t="n">
        <v>0.11345</v>
      </c>
      <c r="F46" s="0" t="n">
        <v>1.52125</v>
      </c>
      <c r="G46" s="0" t="n">
        <v>165</v>
      </c>
      <c r="H46" s="0" t="n">
        <v>136</v>
      </c>
      <c r="I46" s="0" t="s">
        <v>53</v>
      </c>
      <c r="J46" s="0" t="n">
        <v>0</v>
      </c>
      <c r="K46" s="0" t="n">
        <v>0.053169</v>
      </c>
      <c r="L46" s="0" t="n">
        <v>0.00814225479272151</v>
      </c>
      <c r="M46" s="1" t="n">
        <v>0.0243406462069082</v>
      </c>
      <c r="N46" s="0" t="n">
        <v>0.178257358057578</v>
      </c>
      <c r="O46" s="0" t="n">
        <v>0.163003375863752</v>
      </c>
      <c r="P46" s="0" t="n">
        <v>0.123134624793788</v>
      </c>
      <c r="Q46" s="0" t="n">
        <v>0.188066633821478</v>
      </c>
      <c r="R46" s="11" t="n">
        <v>0.0377510003176</v>
      </c>
      <c r="S46" s="0" t="n">
        <v>0.0296105272024692</v>
      </c>
      <c r="T46" s="0" t="n">
        <v>7.88005414716667E-005</v>
      </c>
      <c r="U46" s="0" t="n">
        <v>0.000125856263285</v>
      </c>
      <c r="V46" s="0" t="n">
        <v>0.000137409136960667</v>
      </c>
      <c r="Z46" s="1"/>
      <c r="AA46" s="1"/>
      <c r="AB46" s="11"/>
      <c r="AJ46" s="0" t="n">
        <v>0.366879266171512</v>
      </c>
      <c r="AK46" s="0" t="n">
        <v>0.000184464858774</v>
      </c>
      <c r="AL46" s="0" t="n">
        <f aca="false">AK46-0.0000470557218133333</f>
        <v>0.000137409136960667</v>
      </c>
      <c r="AM46" s="0" t="n">
        <v>0.0553800487139337</v>
      </c>
      <c r="AN46" s="0" t="n">
        <v>0.000294826931545475</v>
      </c>
      <c r="AO46" s="0" t="n">
        <v>7.88005414716667E-005</v>
      </c>
      <c r="AP46" s="0" t="n">
        <v>0.366879266171512</v>
      </c>
      <c r="AQ46" s="0" t="n">
        <v>0.000184464858774</v>
      </c>
      <c r="AR46" s="0" t="n">
        <f aca="false">AQ46-0.0000470557218133333</f>
        <v>0.000137409136960667</v>
      </c>
      <c r="AS46" s="0" t="n">
        <v>0.0553800487139337</v>
      </c>
      <c r="AT46" s="0" t="n">
        <v>0.000589653863090951</v>
      </c>
      <c r="AU46" s="3" t="n">
        <v>0.0349257240534314</v>
      </c>
      <c r="AV46" s="0" t="n">
        <v>0.0319964320078306</v>
      </c>
      <c r="AW46" s="0" t="n">
        <v>0.000157371957852667</v>
      </c>
      <c r="AZ46" s="0" t="n">
        <v>0.222269537180186</v>
      </c>
      <c r="BA46" s="0" t="n">
        <v>0.199869537180186</v>
      </c>
      <c r="BC46" s="0" t="n">
        <v>0.145534624793788</v>
      </c>
      <c r="BD46" s="0" t="n">
        <f aca="false">BC46-0.0224</f>
        <v>0.123134624793788</v>
      </c>
      <c r="BE46" s="0" t="n">
        <v>0.0908901342640602</v>
      </c>
      <c r="BF46" s="3" t="n">
        <v>0.0460901342640602</v>
      </c>
      <c r="BG46" s="0" t="n">
        <v>0.0305661136903916</v>
      </c>
      <c r="BH46" s="0" t="n">
        <f aca="false">M46/BG46</f>
        <v>0.796327804491535</v>
      </c>
      <c r="BI46" s="0" t="n">
        <v>0.00156765426421027</v>
      </c>
      <c r="BJ46" s="0" t="n">
        <v>0.664130482561666</v>
      </c>
      <c r="BK46" s="0" t="n">
        <v>0</v>
      </c>
      <c r="BL46" s="0" t="n">
        <v>0</v>
      </c>
      <c r="BM46" s="0" t="n">
        <v>0</v>
      </c>
      <c r="BN46" s="0" t="e">
        <f aca="false">#REF!/#REF!</f>
        <v>#REF!</v>
      </c>
      <c r="BO46" s="0" t="n">
        <v>0.0320731066504</v>
      </c>
    </row>
    <row r="47" customFormat="false" ht="12.8" hidden="false" customHeight="false" outlineLevel="0" collapsed="false">
      <c r="A47" s="0" t="s">
        <v>100</v>
      </c>
      <c r="B47" s="0" t="s">
        <v>50</v>
      </c>
      <c r="C47" s="0" t="s">
        <v>59</v>
      </c>
      <c r="D47" s="0" t="s">
        <v>52</v>
      </c>
      <c r="E47" s="10" t="n">
        <v>0.0571825</v>
      </c>
      <c r="F47" s="0" t="n">
        <v>1.1065</v>
      </c>
      <c r="G47" s="0" t="n">
        <v>181</v>
      </c>
      <c r="H47" s="0" t="n">
        <v>146</v>
      </c>
      <c r="I47" s="0" t="s">
        <v>53</v>
      </c>
      <c r="J47" s="0" t="n">
        <v>0</v>
      </c>
      <c r="K47" s="0" t="n">
        <v>0.049985</v>
      </c>
      <c r="L47" s="0" t="n">
        <v>0.00898504683343671</v>
      </c>
      <c r="M47" s="1" t="n">
        <v>0.0251953788688895</v>
      </c>
      <c r="N47" s="0" t="n">
        <v>0.173795330061769</v>
      </c>
      <c r="O47" s="0" t="n">
        <v>0.211821120769509</v>
      </c>
      <c r="P47" s="0" t="n">
        <v>0.128579757535452</v>
      </c>
      <c r="Q47" s="0" t="n">
        <v>0.194819252304032</v>
      </c>
      <c r="R47" s="11" t="n">
        <v>0.0431364491592</v>
      </c>
      <c r="S47" s="0" t="n">
        <v>0.0341478370505626</v>
      </c>
      <c r="T47" s="0" t="n">
        <v>6.88154162866667E-005</v>
      </c>
      <c r="U47" s="0" t="n">
        <v>0.0001158711381</v>
      </c>
      <c r="V47" s="0" t="n">
        <v>0.000104747998688167</v>
      </c>
      <c r="Z47" s="1"/>
      <c r="AA47" s="1"/>
      <c r="AB47" s="11"/>
      <c r="AJ47" s="0" t="n">
        <v>1.52557409447578</v>
      </c>
      <c r="AK47" s="0" t="n">
        <v>0.000260874466</v>
      </c>
      <c r="AL47" s="0" t="n">
        <f aca="false">AK47-0.0000470557218133333</f>
        <v>0.000213818744186667</v>
      </c>
      <c r="AM47" s="0" t="n">
        <v>0.288576393361732</v>
      </c>
      <c r="AN47" s="0" t="n">
        <v>2.73988139E-012</v>
      </c>
      <c r="AO47" s="0" t="n">
        <v>6.65105019741667E-005</v>
      </c>
      <c r="AP47" s="0" t="n">
        <v>0.789636931126914</v>
      </c>
      <c r="AQ47" s="0" t="n">
        <v>0.0001518037205015</v>
      </c>
      <c r="AR47" s="0" t="n">
        <f aca="false">AQ47-0.0000470557218133333</f>
        <v>0.000104747998688167</v>
      </c>
      <c r="AS47" s="0" t="n">
        <v>0.838920397535883</v>
      </c>
      <c r="AT47" s="0" t="n">
        <v>0.00278325217458185</v>
      </c>
      <c r="AU47" s="3" t="n">
        <v>0.0429450246057984</v>
      </c>
      <c r="AV47" s="0" t="n">
        <v>0.0101414000131377</v>
      </c>
      <c r="AW47" s="0" t="n">
        <v>0.000134304229969667</v>
      </c>
      <c r="AZ47" s="0" t="n">
        <v>0.314129467085407</v>
      </c>
      <c r="BA47" s="0" t="n">
        <v>0.291729467085407</v>
      </c>
      <c r="BC47" s="0" t="n">
        <v>0.150979757535452</v>
      </c>
      <c r="BD47" s="0" t="n">
        <f aca="false">BC47-0.0224</f>
        <v>0.128579757535452</v>
      </c>
      <c r="BE47" s="0" t="n">
        <v>0.0724448416099653</v>
      </c>
      <c r="BF47" s="3" t="n">
        <v>0.0276448416099653</v>
      </c>
      <c r="BG47" s="0" t="n">
        <v>0.0465880204775734</v>
      </c>
      <c r="BH47" s="0" t="n">
        <f aca="false">M47/BG47</f>
        <v>0.540812393628488</v>
      </c>
      <c r="BI47" s="0" t="n">
        <v>5.7742918832E-010</v>
      </c>
      <c r="BJ47" s="0" t="n">
        <v>0.496204902553785</v>
      </c>
      <c r="BK47" s="0" t="n">
        <v>0</v>
      </c>
      <c r="BL47" s="0" t="n">
        <v>0</v>
      </c>
      <c r="BM47" s="0" t="n">
        <v>0</v>
      </c>
      <c r="BN47" s="0" t="e">
        <f aca="false">#REF!/#REF!</f>
        <v>#REF!</v>
      </c>
      <c r="BO47" s="0" t="n">
        <v>0.0400437097288</v>
      </c>
    </row>
    <row r="48" customFormat="false" ht="12.8" hidden="false" customHeight="false" outlineLevel="0" collapsed="false">
      <c r="A48" s="0" t="s">
        <v>101</v>
      </c>
      <c r="B48" s="0" t="s">
        <v>50</v>
      </c>
      <c r="C48" s="0" t="s">
        <v>59</v>
      </c>
      <c r="D48" s="0" t="s">
        <v>52</v>
      </c>
      <c r="E48" s="10" t="n">
        <v>0.0862725</v>
      </c>
      <c r="F48" s="0" t="n">
        <v>1.18325</v>
      </c>
      <c r="G48" s="0" t="n">
        <v>247</v>
      </c>
      <c r="H48" s="0" t="n">
        <v>212</v>
      </c>
      <c r="I48" s="0" t="s">
        <v>53</v>
      </c>
      <c r="J48" s="0" t="n">
        <v>0</v>
      </c>
      <c r="K48" s="0" t="n">
        <v>0.043004</v>
      </c>
      <c r="L48" s="0" t="n">
        <v>0.0122623996014598</v>
      </c>
      <c r="M48" s="1" t="n">
        <v>0.0260878957332118</v>
      </c>
      <c r="N48" s="0" t="n">
        <v>0.197850775307608</v>
      </c>
      <c r="O48" s="0" t="n">
        <v>0.17741646311965</v>
      </c>
      <c r="P48" s="0" t="n">
        <v>0.145080974801727</v>
      </c>
      <c r="Q48" s="0" t="n">
        <v>0.205991559665127</v>
      </c>
      <c r="R48" s="11" t="n">
        <v>0.0514185895144</v>
      </c>
      <c r="S48" s="0" t="n">
        <v>0.0391597941712698</v>
      </c>
      <c r="T48" s="0" t="n">
        <v>8.22473035931667E-005</v>
      </c>
      <c r="U48" s="0" t="n">
        <v>0.0001293030254065</v>
      </c>
      <c r="V48" s="0" t="n">
        <v>0.000120458304834667</v>
      </c>
      <c r="Z48" s="1"/>
      <c r="AA48" s="1"/>
      <c r="AB48" s="11"/>
      <c r="AJ48" s="0" t="n">
        <v>1.33720506129344</v>
      </c>
      <c r="AK48" s="0" t="n">
        <v>0.000167514026648</v>
      </c>
      <c r="AL48" s="0" t="n">
        <f aca="false">AK48-0.0000470557218133333</f>
        <v>0.000120458304834667</v>
      </c>
      <c r="AM48" s="0" t="n">
        <v>0.397693467853987</v>
      </c>
      <c r="AN48" s="0" t="n">
        <v>0.000722751733443813</v>
      </c>
      <c r="AO48" s="0" t="n">
        <v>8.22473035931667E-005</v>
      </c>
      <c r="AP48" s="0" t="n">
        <v>1.33720506129344</v>
      </c>
      <c r="AQ48" s="0" t="n">
        <v>0.000167514026648</v>
      </c>
      <c r="AR48" s="0" t="n">
        <f aca="false">AQ48-0.0000470557218133333</f>
        <v>0.000120458304834667</v>
      </c>
      <c r="AS48" s="0" t="n">
        <v>0.397693467853987</v>
      </c>
      <c r="AT48" s="0" t="n">
        <v>0.00144550346688763</v>
      </c>
      <c r="AU48" s="3" t="n">
        <v>0.0436947849891418</v>
      </c>
      <c r="AV48" s="0" t="n">
        <v>0.00374902582021658</v>
      </c>
      <c r="AW48" s="0" t="n">
        <v>0.000172288469166667</v>
      </c>
      <c r="AZ48" s="0" t="n">
        <v>0.247975315554423</v>
      </c>
      <c r="BA48" s="0" t="n">
        <v>0.225575315554423</v>
      </c>
      <c r="BC48" s="0" t="n">
        <v>0.167480974801727</v>
      </c>
      <c r="BD48" s="0" t="n">
        <f aca="false">BC48-0.0224</f>
        <v>0.145080974801727</v>
      </c>
      <c r="BE48" s="0" t="n">
        <v>0.0977548745201075</v>
      </c>
      <c r="BF48" s="3" t="n">
        <v>0.0529548745201075</v>
      </c>
      <c r="BG48" s="0" t="n">
        <v>0.0312751176929215</v>
      </c>
      <c r="BH48" s="0" t="n">
        <f aca="false">M48/BG48</f>
        <v>0.83414220817197</v>
      </c>
      <c r="BI48" s="0" t="n">
        <v>0.0123726807396285</v>
      </c>
      <c r="BJ48" s="0" t="n">
        <v>0.622473629109883</v>
      </c>
      <c r="BK48" s="0" t="n">
        <v>0</v>
      </c>
      <c r="BL48" s="0" t="n">
        <v>0</v>
      </c>
      <c r="BM48" s="0" t="n">
        <v>0</v>
      </c>
      <c r="BN48" s="0" t="e">
        <f aca="false">#REF!/#REF!</f>
        <v>#REF!</v>
      </c>
      <c r="BO48" s="0" t="n">
        <v>0.0441344477048</v>
      </c>
    </row>
    <row r="49" customFormat="false" ht="12.8" hidden="false" customHeight="false" outlineLevel="0" collapsed="false">
      <c r="A49" s="0" t="s">
        <v>102</v>
      </c>
      <c r="B49" s="0" t="s">
        <v>50</v>
      </c>
      <c r="C49" s="0" t="s">
        <v>51</v>
      </c>
      <c r="D49" s="0" t="s">
        <v>52</v>
      </c>
      <c r="E49" s="10" t="n">
        <v>0.51655</v>
      </c>
      <c r="F49" s="0" t="n">
        <v>4.14325</v>
      </c>
      <c r="G49" s="0" t="n">
        <v>1193</v>
      </c>
      <c r="H49" s="0" t="n">
        <v>1128</v>
      </c>
      <c r="I49" s="0" t="s">
        <v>55</v>
      </c>
      <c r="J49" s="0" t="n">
        <v>0.0188949108</v>
      </c>
      <c r="K49" s="0" t="n">
        <v>0.4825413</v>
      </c>
      <c r="L49" s="0" t="n">
        <v>0.0680627052821393</v>
      </c>
      <c r="M49" s="1" t="n">
        <v>0.0236760874513914</v>
      </c>
      <c r="N49" s="0" t="n">
        <v>0.246041726551547</v>
      </c>
      <c r="O49" s="0" t="n">
        <v>0.379109673838923</v>
      </c>
      <c r="P49" s="0" t="n">
        <v>0.300291903425901</v>
      </c>
      <c r="Q49" s="0" t="n">
        <v>0.348863925134001</v>
      </c>
      <c r="R49" s="11" t="n">
        <v>0.3286175335</v>
      </c>
      <c r="S49" s="0" t="n">
        <v>0.26056204123095</v>
      </c>
      <c r="T49" s="0" t="n">
        <v>0.000111813089509333</v>
      </c>
      <c r="U49" s="0" t="n">
        <v>0.000166147126176</v>
      </c>
      <c r="V49" s="0" t="n">
        <v>0.000156215064552333</v>
      </c>
      <c r="Z49" s="1"/>
      <c r="AA49" s="1"/>
      <c r="AB49" s="11"/>
      <c r="AJ49" s="0" t="n">
        <v>4.3843882278069</v>
      </c>
      <c r="AK49" s="0" t="n">
        <v>0.000210526864317</v>
      </c>
      <c r="AL49" s="0" t="n">
        <f aca="false">AK49-0.0000543340366666667</f>
        <v>0.000156192827650333</v>
      </c>
      <c r="AM49" s="0" t="n">
        <v>0.798906119302652</v>
      </c>
      <c r="AN49" s="0" t="n">
        <v>7.13704155728775E-026</v>
      </c>
      <c r="AO49" s="0" t="n">
        <v>0.000111633333262333</v>
      </c>
      <c r="AP49" s="0" t="n">
        <v>4.37909900312851</v>
      </c>
      <c r="AQ49" s="0" t="n">
        <v>0.000210549101219</v>
      </c>
      <c r="AR49" s="0" t="n">
        <f aca="false">AQ49-0.0000543340366666667</f>
        <v>0.000156215064552333</v>
      </c>
      <c r="AS49" s="0" t="n">
        <v>0.798164582797592</v>
      </c>
      <c r="AT49" s="0" t="n">
        <v>7.01390065097642E-026</v>
      </c>
      <c r="AU49" s="3" t="n">
        <v>0.103733650376873</v>
      </c>
      <c r="AV49" s="0" t="n">
        <v>0.0349170014121382</v>
      </c>
      <c r="AW49" s="0" t="n">
        <v>0.000200070048389833</v>
      </c>
      <c r="AZ49" s="0" t="n">
        <v>0.172379349323257</v>
      </c>
      <c r="BA49" s="0" t="n">
        <v>0.148879349323257</v>
      </c>
      <c r="BC49" s="0" t="n">
        <v>0.323791903425901</v>
      </c>
      <c r="BD49" s="0" t="n">
        <f aca="false">BC49-0.0235</f>
        <v>0.300291903425901</v>
      </c>
      <c r="BE49" s="0" t="n">
        <v>0.15829708099774</v>
      </c>
      <c r="BF49" s="3" t="n">
        <v>0.11129708099774</v>
      </c>
      <c r="BG49" s="0" t="n">
        <v>0.0341604514258649</v>
      </c>
      <c r="BH49" s="0" t="n">
        <f aca="false">M49/BG49</f>
        <v>0.693084735802549</v>
      </c>
      <c r="BI49" s="0" t="n">
        <v>1.71159806001031E-036</v>
      </c>
      <c r="BJ49" s="0" t="n">
        <v>0.499427890426905</v>
      </c>
      <c r="BK49" s="0" t="n">
        <v>0.584794254677301</v>
      </c>
      <c r="BL49" s="0" t="n">
        <v>0.588903583235559</v>
      </c>
      <c r="BM49" s="0" t="n">
        <v>0.565403583235559</v>
      </c>
      <c r="BN49" s="0" t="e">
        <f aca="false">#REF!/#REF!</f>
        <v>#REF!</v>
      </c>
      <c r="BO49" s="0" t="n">
        <v>0.316735342775</v>
      </c>
    </row>
    <row r="50" customFormat="false" ht="12.8" hidden="false" customHeight="false" outlineLevel="0" collapsed="false">
      <c r="A50" s="0" t="s">
        <v>103</v>
      </c>
      <c r="B50" s="0" t="s">
        <v>50</v>
      </c>
      <c r="C50" s="0" t="s">
        <v>51</v>
      </c>
      <c r="D50" s="0" t="s">
        <v>52</v>
      </c>
      <c r="E50" s="10" t="n">
        <v>0.261675</v>
      </c>
      <c r="F50" s="0" t="n">
        <v>2.32175</v>
      </c>
      <c r="G50" s="0" t="n">
        <v>599</v>
      </c>
      <c r="H50" s="0" t="n">
        <v>545</v>
      </c>
      <c r="I50" s="0" t="s">
        <v>55</v>
      </c>
      <c r="J50" s="0" t="n">
        <v>0.0476546567</v>
      </c>
      <c r="K50" s="0" t="n">
        <v>0.1042493</v>
      </c>
      <c r="L50" s="0" t="n">
        <v>0.034173421848325</v>
      </c>
      <c r="M50" s="1" t="n">
        <v>0.017698528921505</v>
      </c>
      <c r="N50" s="0" t="n">
        <v>0.186415956537916</v>
      </c>
      <c r="O50" s="0" t="n">
        <v>0.237312397631822</v>
      </c>
      <c r="P50" s="0" t="n">
        <v>0.185364736012718</v>
      </c>
      <c r="Q50" s="0" t="n">
        <v>0.253234546127281</v>
      </c>
      <c r="R50" s="11" t="n">
        <v>0.11619011953</v>
      </c>
      <c r="S50" s="0" t="n">
        <v>0.0820090778140366</v>
      </c>
      <c r="T50" s="0" t="n">
        <v>6.59809911563333E-005</v>
      </c>
      <c r="U50" s="0" t="n">
        <v>0.000120315027823</v>
      </c>
      <c r="V50" s="0" t="n">
        <v>9.16871229093333E-005</v>
      </c>
      <c r="Z50" s="1"/>
      <c r="AA50" s="1"/>
      <c r="AB50" s="11"/>
      <c r="AJ50" s="0" t="n">
        <v>1.21015761236005</v>
      </c>
      <c r="AK50" s="0" t="n">
        <v>0.0001462039450775</v>
      </c>
      <c r="AL50" s="0" t="n">
        <f aca="false">AK50-0.0000543340366666667</f>
        <v>9.18699084108333E-005</v>
      </c>
      <c r="AM50" s="0" t="n">
        <v>0.696757990309905</v>
      </c>
      <c r="AN50" s="0" t="n">
        <v>5.3275239485798E-007</v>
      </c>
      <c r="AO50" s="0" t="n">
        <v>6.60154254633333E-005</v>
      </c>
      <c r="AP50" s="0" t="n">
        <v>0.998054876546425</v>
      </c>
      <c r="AQ50" s="0" t="n">
        <v>0.000146021159576</v>
      </c>
      <c r="AR50" s="0" t="n">
        <f aca="false">AQ50-0.0000543340366666667</f>
        <v>9.16871229093333E-005</v>
      </c>
      <c r="AS50" s="0" t="n">
        <v>0.688832007908147</v>
      </c>
      <c r="AT50" s="0" t="n">
        <v>4.8040225024068E-007</v>
      </c>
      <c r="AU50" s="3" t="n">
        <v>0.05483706946358</v>
      </c>
      <c r="AV50" s="0" t="n">
        <v>5.18477399194167E-005</v>
      </c>
      <c r="AW50" s="0" t="n">
        <v>0.000202422166573333</v>
      </c>
      <c r="AZ50" s="0" t="n">
        <v>0.210104086819207</v>
      </c>
      <c r="BA50" s="0" t="n">
        <v>0.186604086819207</v>
      </c>
      <c r="BC50" s="0" t="n">
        <v>0.208864736012718</v>
      </c>
      <c r="BD50" s="0" t="n">
        <f aca="false">BC50-0.0235</f>
        <v>0.185364736012718</v>
      </c>
      <c r="BE50" s="0" t="n">
        <v>0.110215433487337</v>
      </c>
      <c r="BF50" s="3" t="n">
        <v>0.063215433487337</v>
      </c>
      <c r="BG50" s="0" t="n">
        <v>0.025179982832893</v>
      </c>
      <c r="BH50" s="0" t="n">
        <f aca="false">M50/BG50</f>
        <v>0.70288089705864</v>
      </c>
      <c r="BI50" s="0" t="n">
        <v>2.436777048158E-008</v>
      </c>
      <c r="BJ50" s="0" t="n">
        <v>0.532576964548058</v>
      </c>
      <c r="BK50" s="0" t="n">
        <v>0.21113434647796</v>
      </c>
      <c r="BL50" s="0" t="n">
        <v>0.249377984916233</v>
      </c>
      <c r="BM50" s="0" t="n">
        <v>0.225877984916233</v>
      </c>
      <c r="BN50" s="0" t="e">
        <f aca="false">#REF!/#REF!</f>
        <v>#REF!</v>
      </c>
      <c r="BO50" s="0" t="n">
        <v>0.10182937973</v>
      </c>
    </row>
    <row r="51" customFormat="false" ht="12.8" hidden="false" customHeight="false" outlineLevel="0" collapsed="false">
      <c r="A51" s="0" t="s">
        <v>104</v>
      </c>
      <c r="B51" s="0" t="s">
        <v>50</v>
      </c>
      <c r="C51" s="0" t="s">
        <v>51</v>
      </c>
      <c r="D51" s="0" t="s">
        <v>52</v>
      </c>
      <c r="E51" s="10" t="n">
        <v>0.315875</v>
      </c>
      <c r="F51" s="0" t="n">
        <v>2.75725</v>
      </c>
      <c r="G51" s="0" t="n">
        <v>1134</v>
      </c>
      <c r="H51" s="0" t="n">
        <v>1082</v>
      </c>
      <c r="I51" s="0" t="s">
        <v>53</v>
      </c>
      <c r="J51" s="0" t="n">
        <v>0.0225125067</v>
      </c>
      <c r="K51" s="0" t="n">
        <v>0.29411</v>
      </c>
      <c r="L51" s="0" t="n">
        <v>0.0646330432920452</v>
      </c>
      <c r="M51" s="1" t="n">
        <v>0.0149760774773116</v>
      </c>
      <c r="N51" s="0" t="n">
        <v>0.19445649622061</v>
      </c>
      <c r="O51" s="0" t="n">
        <v>0.30485456668874</v>
      </c>
      <c r="P51" s="0" t="n">
        <v>0.245640178386619</v>
      </c>
      <c r="Q51" s="0" t="n">
        <v>0.219266228068259</v>
      </c>
      <c r="R51" s="11" t="n">
        <v>0.24996119589</v>
      </c>
      <c r="S51" s="0" t="n">
        <v>0.185318546490243</v>
      </c>
      <c r="T51" s="0" t="n">
        <v>6.05019219108333E-005</v>
      </c>
      <c r="U51" s="0" t="n">
        <v>0.0001148359585775</v>
      </c>
      <c r="V51" s="0" t="n">
        <v>0.000114744308036333</v>
      </c>
      <c r="Z51" s="1"/>
      <c r="AA51" s="1"/>
      <c r="AB51" s="11"/>
      <c r="AJ51" s="0" t="n">
        <v>3.00749459887703</v>
      </c>
      <c r="AK51" s="0" t="n">
        <v>0.0001825867137545</v>
      </c>
      <c r="AL51" s="0" t="n">
        <f aca="false">AK51-0.0000543340366666667</f>
        <v>0.000128252677087833</v>
      </c>
      <c r="AM51" s="0" t="n">
        <v>0.712821055490807</v>
      </c>
      <c r="AN51" s="0" t="n">
        <v>3.63689359513689E-069</v>
      </c>
      <c r="AO51" s="0" t="n">
        <v>6.02666971343333E-005</v>
      </c>
      <c r="AP51" s="0" t="n">
        <v>3.10216066415179</v>
      </c>
      <c r="AQ51" s="0" t="n">
        <v>0.000169078344703</v>
      </c>
      <c r="AR51" s="0" t="n">
        <f aca="false">AQ51-0.0000543340366666667</f>
        <v>0.000114744308036333</v>
      </c>
      <c r="AS51" s="0" t="n">
        <v>0.691130541555099</v>
      </c>
      <c r="AT51" s="0" t="n">
        <v>2.47075237090521E-056</v>
      </c>
      <c r="AU51" s="3" t="n">
        <v>0.094860483550068</v>
      </c>
      <c r="AV51" s="0" t="n">
        <v>0.105664622466006</v>
      </c>
      <c r="AW51" s="0" t="n">
        <v>0.000161733663623833</v>
      </c>
      <c r="AZ51" s="0" t="n">
        <v>0.294711119545769</v>
      </c>
      <c r="BA51" s="0" t="n">
        <v>0.271211119545769</v>
      </c>
      <c r="BC51" s="0" t="n">
        <v>0.269140178386619</v>
      </c>
      <c r="BD51" s="0" t="n">
        <f aca="false">BC51-0.0235</f>
        <v>0.245640178386619</v>
      </c>
      <c r="BE51" s="0" t="n">
        <v>0.142568546536953</v>
      </c>
      <c r="BF51" s="3" t="n">
        <v>0.095568546536953</v>
      </c>
      <c r="BG51" s="0" t="n">
        <v>0.0292331991467016</v>
      </c>
      <c r="BH51" s="0" t="n">
        <f aca="false">M51/BG51</f>
        <v>0.512296906067544</v>
      </c>
      <c r="BI51" s="0" t="n">
        <v>4.30189255377983E-060</v>
      </c>
      <c r="BJ51" s="0" t="n">
        <v>0.525375793796679</v>
      </c>
      <c r="BK51" s="0" t="n">
        <v>0.234177322718092</v>
      </c>
      <c r="BL51" s="0" t="n">
        <v>0.270481183484909</v>
      </c>
      <c r="BM51" s="0" t="n">
        <v>0.246981183484909</v>
      </c>
      <c r="BN51" s="0" t="e">
        <f aca="false">#REF!/#REF!</f>
        <v>#REF!</v>
      </c>
      <c r="BO51" s="0" t="n">
        <v>0.22564609493</v>
      </c>
    </row>
    <row r="52" customFormat="false" ht="12.8" hidden="false" customHeight="false" outlineLevel="0" collapsed="false">
      <c r="A52" s="0" t="s">
        <v>105</v>
      </c>
      <c r="B52" s="0" t="s">
        <v>50</v>
      </c>
      <c r="C52" s="0" t="s">
        <v>59</v>
      </c>
      <c r="D52" s="0" t="s">
        <v>52</v>
      </c>
      <c r="E52" s="10" t="n">
        <v>0.0870875</v>
      </c>
      <c r="F52" s="0" t="n">
        <v>1.21775</v>
      </c>
      <c r="G52" s="0" t="n">
        <v>227</v>
      </c>
      <c r="H52" s="0" t="n">
        <v>186</v>
      </c>
      <c r="I52" s="0" t="s">
        <v>53</v>
      </c>
      <c r="J52" s="0" t="n">
        <v>0</v>
      </c>
      <c r="K52" s="0" t="n">
        <v>0.041794</v>
      </c>
      <c r="L52" s="0" t="n">
        <v>0.0112748687870355</v>
      </c>
      <c r="M52" s="1" t="n">
        <v>0.0222689523445289</v>
      </c>
      <c r="N52" s="0" t="n">
        <v>0.185795463612652</v>
      </c>
      <c r="O52" s="0" t="n">
        <v>0.171421566318999</v>
      </c>
      <c r="P52" s="0" t="n">
        <v>0.131677438986304</v>
      </c>
      <c r="Q52" s="0" t="n">
        <v>0.194954428699241</v>
      </c>
      <c r="R52" s="11" t="n">
        <v>0.0419548616192</v>
      </c>
      <c r="S52" s="0" t="n">
        <v>0.0306821179957215</v>
      </c>
      <c r="T52" s="0" t="n">
        <v>7.40779399506667E-005</v>
      </c>
      <c r="U52" s="0" t="n">
        <v>0.000121133661764</v>
      </c>
      <c r="V52" s="0" t="n">
        <v>8.86617310436667E-005</v>
      </c>
      <c r="Z52" s="1"/>
      <c r="AA52" s="1"/>
      <c r="AB52" s="11"/>
      <c r="AJ52" s="0" t="n">
        <v>0.422778107925217</v>
      </c>
      <c r="AK52" s="0" t="n">
        <v>0.000135717452857</v>
      </c>
      <c r="AL52" s="0" t="n">
        <f aca="false">AK52-0.0000470557218133333</f>
        <v>8.86617310436667E-005</v>
      </c>
      <c r="AM52" s="0" t="n">
        <v>0.654898003940154</v>
      </c>
      <c r="AN52" s="0" t="n">
        <v>0.0671176678819341</v>
      </c>
      <c r="AO52" s="0" t="n">
        <v>7.40779399506667E-005</v>
      </c>
      <c r="AP52" s="0" t="n">
        <v>0.422778107925217</v>
      </c>
      <c r="AQ52" s="0" t="n">
        <v>0.000135717452857</v>
      </c>
      <c r="AR52" s="0" t="n">
        <f aca="false">AQ52-0.0000470557218133333</f>
        <v>8.86617310436667E-005</v>
      </c>
      <c r="AS52" s="0" t="n">
        <v>0.654898003940154</v>
      </c>
      <c r="AT52" s="0" t="n">
        <v>0.134235335763868</v>
      </c>
      <c r="AU52" s="3" t="n">
        <v>0.0282388445476338</v>
      </c>
      <c r="AV52" s="0" t="n">
        <v>0.00517879151299127</v>
      </c>
      <c r="AW52" s="0" t="n">
        <v>0.000141646451395167</v>
      </c>
      <c r="AZ52" s="0" t="n">
        <v>0.247517881160563</v>
      </c>
      <c r="BA52" s="0" t="n">
        <v>0.225117881160563</v>
      </c>
      <c r="BC52" s="0" t="n">
        <v>0.154077438986304</v>
      </c>
      <c r="BD52" s="0" t="n">
        <f aca="false">BC52-0.0224</f>
        <v>0.131677438986304</v>
      </c>
      <c r="BE52" s="0" t="n">
        <v>0.0808322974495101</v>
      </c>
      <c r="BF52" s="3" t="n">
        <v>0.0360322974495101</v>
      </c>
      <c r="BG52" s="0" t="n">
        <v>0.0280758596577889</v>
      </c>
      <c r="BH52" s="0" t="n">
        <f aca="false">M52/BG52</f>
        <v>0.793170809939954</v>
      </c>
      <c r="BI52" s="0" t="n">
        <v>0.00506722802283451</v>
      </c>
      <c r="BJ52" s="0" t="n">
        <v>0.573127308328605</v>
      </c>
      <c r="BK52" s="0" t="n">
        <v>0</v>
      </c>
      <c r="BL52" s="0" t="n">
        <v>0</v>
      </c>
      <c r="BM52" s="0" t="n">
        <v>0</v>
      </c>
      <c r="BN52" s="0" t="e">
        <f aca="false">#REF!/#REF!</f>
        <v>#REF!</v>
      </c>
      <c r="BO52" s="0" t="n">
        <v>0.0327723835608</v>
      </c>
    </row>
    <row r="53" customFormat="false" ht="12.8" hidden="false" customHeight="false" outlineLevel="0" collapsed="false">
      <c r="A53" s="0" t="s">
        <v>106</v>
      </c>
      <c r="B53" s="0" t="s">
        <v>50</v>
      </c>
      <c r="C53" s="0" t="s">
        <v>59</v>
      </c>
      <c r="D53" s="0" t="s">
        <v>52</v>
      </c>
      <c r="E53" s="10" t="n">
        <v>0.121525</v>
      </c>
      <c r="F53" s="0" t="n">
        <v>1.9015</v>
      </c>
      <c r="G53" s="0" t="n">
        <v>236</v>
      </c>
      <c r="H53" s="0" t="n">
        <v>210</v>
      </c>
      <c r="I53" s="0" t="s">
        <v>53</v>
      </c>
      <c r="J53" s="0" t="n">
        <v>0</v>
      </c>
      <c r="K53" s="0" t="n">
        <v>0.051253</v>
      </c>
      <c r="L53" s="0" t="n">
        <v>0.0117224023245281</v>
      </c>
      <c r="M53" s="1" t="n">
        <v>0.0295398276285588</v>
      </c>
      <c r="N53" s="0" t="n">
        <v>0.167550274745174</v>
      </c>
      <c r="O53" s="0" t="n">
        <v>0.254111257319675</v>
      </c>
      <c r="P53" s="0" t="n">
        <v>0.161364445207606</v>
      </c>
      <c r="Q53" s="0" t="n">
        <v>0.170986399213331</v>
      </c>
      <c r="R53" s="11" t="n">
        <v>0.0716108361344</v>
      </c>
      <c r="S53" s="0" t="n">
        <v>0.0598955017908319</v>
      </c>
      <c r="T53" s="0" t="n">
        <v>8.30572953206667E-005</v>
      </c>
      <c r="U53" s="0" t="n">
        <v>0.000130113017134</v>
      </c>
      <c r="V53" s="0" t="n">
        <v>0.000150309330999167</v>
      </c>
      <c r="Z53" s="1"/>
      <c r="AA53" s="1"/>
      <c r="AB53" s="11"/>
      <c r="AJ53" s="0" t="n">
        <v>3.16528616013229</v>
      </c>
      <c r="AK53" s="0" t="n">
        <v>0.000217773311715</v>
      </c>
      <c r="AL53" s="0" t="n">
        <f aca="false">AK53-0.0000470557218133333</f>
        <v>0.000170717589901667</v>
      </c>
      <c r="AM53" s="0" t="n">
        <v>0.572596335275337</v>
      </c>
      <c r="AN53" s="0" t="n">
        <v>1.512900750638E-008</v>
      </c>
      <c r="AO53" s="0" t="n">
        <v>8.18932345081667E-005</v>
      </c>
      <c r="AP53" s="0" t="n">
        <v>2.52427316093573</v>
      </c>
      <c r="AQ53" s="0" t="n">
        <v>0.0001973650528125</v>
      </c>
      <c r="AR53" s="0" t="n">
        <f aca="false">AQ53-0.0000470557218133333</f>
        <v>0.000150309330999167</v>
      </c>
      <c r="AS53" s="0" t="n">
        <v>0.838192682704177</v>
      </c>
      <c r="AT53" s="0" t="n">
        <v>1.71580195898875E-006</v>
      </c>
      <c r="AU53" s="3" t="n">
        <v>0.062408436438491</v>
      </c>
      <c r="AV53" s="0" t="n">
        <v>0.142930230568809</v>
      </c>
      <c r="AW53" s="0" t="n">
        <v>0.000106117071198667</v>
      </c>
      <c r="AZ53" s="0" t="n">
        <v>0.167971086386644</v>
      </c>
      <c r="BA53" s="0" t="n">
        <v>0.145571086386644</v>
      </c>
      <c r="BC53" s="0" t="n">
        <v>0.183764445207606</v>
      </c>
      <c r="BD53" s="0" t="n">
        <f aca="false">BC53-0.0224</f>
        <v>0.161364445207606</v>
      </c>
      <c r="BE53" s="0" t="n">
        <v>0.106480428822118</v>
      </c>
      <c r="BF53" s="3" t="n">
        <v>0.061680428822118</v>
      </c>
      <c r="BG53" s="0" t="n">
        <v>0.0448393396924329</v>
      </c>
      <c r="BH53" s="0" t="n">
        <f aca="false">M53/BG53</f>
        <v>0.65879265464616</v>
      </c>
      <c r="BI53" s="0" t="n">
        <v>3.62518102096E-009</v>
      </c>
      <c r="BJ53" s="0" t="n">
        <v>0.6217038671782</v>
      </c>
      <c r="BK53" s="0" t="n">
        <v>0</v>
      </c>
      <c r="BL53" s="0" t="n">
        <v>0</v>
      </c>
      <c r="BM53" s="0" t="n">
        <v>0</v>
      </c>
      <c r="BN53" s="0" t="e">
        <f aca="false">#REF!/#REF!</f>
        <v>#REF!</v>
      </c>
      <c r="BO53" s="0" t="n">
        <v>0.0672861247536</v>
      </c>
    </row>
    <row r="54" customFormat="false" ht="12.8" hidden="false" customHeight="false" outlineLevel="0" collapsed="false">
      <c r="A54" s="0" t="s">
        <v>107</v>
      </c>
      <c r="B54" s="0" t="s">
        <v>50</v>
      </c>
      <c r="C54" s="0" t="s">
        <v>51</v>
      </c>
      <c r="D54" s="0" t="s">
        <v>52</v>
      </c>
      <c r="E54" s="10" t="n">
        <v>0.247275</v>
      </c>
      <c r="F54" s="0" t="n">
        <v>2.844</v>
      </c>
      <c r="G54" s="0" t="n">
        <v>355</v>
      </c>
      <c r="H54" s="0" t="n">
        <v>303</v>
      </c>
      <c r="I54" s="2" t="s">
        <v>53</v>
      </c>
      <c r="J54" s="2" t="n">
        <v>0.0489196219</v>
      </c>
      <c r="K54" s="2" t="n">
        <v>0.062954</v>
      </c>
      <c r="L54" s="2" t="n">
        <v>0.020878441165962</v>
      </c>
      <c r="M54" s="1" t="n">
        <v>0.0241771149368161</v>
      </c>
      <c r="N54" s="0" t="n">
        <v>0.176680433897479</v>
      </c>
      <c r="O54" s="0" t="n">
        <v>0.25344658536169</v>
      </c>
      <c r="P54" s="2" t="n">
        <v>0.183037255851087</v>
      </c>
      <c r="Q54" s="0" t="n">
        <v>0.179493034938356</v>
      </c>
      <c r="R54" s="11" t="n">
        <v>0.10002642603</v>
      </c>
      <c r="S54" s="0" t="n">
        <v>0.0791438207596015</v>
      </c>
      <c r="T54" s="0" t="n">
        <v>7.97972250343333E-005</v>
      </c>
      <c r="U54" s="0" t="n">
        <v>0.000134131261701</v>
      </c>
      <c r="V54" s="0" t="n">
        <v>0.000171504366789333</v>
      </c>
      <c r="Z54" s="1"/>
      <c r="AA54" s="1"/>
      <c r="AB54" s="11"/>
      <c r="AJ54" s="0" t="n">
        <v>1.45577110421316</v>
      </c>
      <c r="AK54" s="0" t="n">
        <v>0.000237360966631</v>
      </c>
      <c r="AL54" s="0" t="n">
        <f aca="false">AK54-0.0000543340366666667</f>
        <v>0.000183026929964333</v>
      </c>
      <c r="AM54" s="0" t="n">
        <v>1.33598235234896</v>
      </c>
      <c r="AN54" s="0" t="n">
        <v>5.35146825669639E-018</v>
      </c>
      <c r="AO54" s="0" t="n">
        <v>7.80404036853333E-005</v>
      </c>
      <c r="AP54" s="0" t="n">
        <v>1.61328595917593</v>
      </c>
      <c r="AQ54" s="0" t="n">
        <v>0.000225838403456</v>
      </c>
      <c r="AR54" s="0" t="n">
        <f aca="false">AQ54-0.0000543340366666667</f>
        <v>0.000171504366789333</v>
      </c>
      <c r="AS54" s="0" t="n">
        <v>0.359298996818182</v>
      </c>
      <c r="AT54" s="0" t="n">
        <v>1.063965E-014</v>
      </c>
      <c r="AU54" s="3" t="n">
        <v>0.053930126242906</v>
      </c>
      <c r="AV54" s="0" t="n">
        <v>0.359562096803349</v>
      </c>
      <c r="AW54" s="0" t="n">
        <v>0.000135932375418833</v>
      </c>
      <c r="AZ54" s="0" t="n">
        <v>0.25386469968158</v>
      </c>
      <c r="BA54" s="0" t="n">
        <v>0.23036469968158</v>
      </c>
      <c r="BC54" s="0" t="n">
        <v>0.206537255851087</v>
      </c>
      <c r="BD54" s="0" t="n">
        <f aca="false">BC54-0.0235</f>
        <v>0.183037255851087</v>
      </c>
      <c r="BE54" s="0" t="n">
        <v>0.097602110226302</v>
      </c>
      <c r="BF54" s="3" t="n">
        <v>0.050602110226302</v>
      </c>
      <c r="BG54" s="0" t="n">
        <v>0.0385418449056499</v>
      </c>
      <c r="BH54" s="0" t="n">
        <f aca="false">M54/BG54</f>
        <v>0.627295216303253</v>
      </c>
      <c r="BI54" s="0" t="n">
        <v>4.838616E-013</v>
      </c>
      <c r="BJ54" s="0" t="n">
        <v>0.488973729124577</v>
      </c>
      <c r="BK54" s="0" t="n">
        <v>0.174109978496651</v>
      </c>
      <c r="BL54" s="0" t="n">
        <v>0.232571801072872</v>
      </c>
      <c r="BM54" s="0" t="n">
        <v>0.209071801072872</v>
      </c>
      <c r="BN54" s="0" t="e">
        <f aca="false">#REF!/#REF!</f>
        <v>#REF!</v>
      </c>
      <c r="BO54" s="0" t="n">
        <v>0.088824983735</v>
      </c>
    </row>
    <row r="55" customFormat="false" ht="12.8" hidden="false" customHeight="false" outlineLevel="0" collapsed="false">
      <c r="A55" s="0" t="s">
        <v>108</v>
      </c>
      <c r="B55" s="0" t="s">
        <v>50</v>
      </c>
      <c r="C55" s="0" t="s">
        <v>59</v>
      </c>
      <c r="D55" s="0" t="s">
        <v>52</v>
      </c>
      <c r="E55" s="10" t="n">
        <v>0.0426525</v>
      </c>
      <c r="F55" s="0" t="n">
        <v>0.899475</v>
      </c>
      <c r="G55" s="0" t="n">
        <v>25</v>
      </c>
      <c r="H55" s="0" t="n">
        <v>11</v>
      </c>
      <c r="I55" s="0" t="s">
        <v>53</v>
      </c>
      <c r="J55" s="0" t="n">
        <v>0</v>
      </c>
      <c r="K55" s="0" t="n">
        <v>0.056419</v>
      </c>
      <c r="L55" s="0" t="n">
        <v>0.00139052056721751</v>
      </c>
      <c r="M55" s="1" t="n">
        <v>0.067641936859867</v>
      </c>
      <c r="N55" s="0" t="n">
        <v>0.0770490770679919</v>
      </c>
      <c r="O55" s="0" t="n">
        <v>0.167114197623318</v>
      </c>
      <c r="P55" s="0" t="n">
        <v>0.079696771250451</v>
      </c>
      <c r="Q55" s="0" t="n">
        <v>0.0924371180745067</v>
      </c>
      <c r="R55" s="11" t="n">
        <v>0.007151957032</v>
      </c>
      <c r="S55" s="0" t="n">
        <v>0.00576071338764496</v>
      </c>
      <c r="T55" s="0" t="n">
        <v>-4.70557218133333E-005</v>
      </c>
      <c r="U55" s="0" t="n">
        <v>0</v>
      </c>
      <c r="V55" s="0" t="n">
        <v>0</v>
      </c>
      <c r="Z55" s="1"/>
      <c r="AA55" s="1"/>
      <c r="AB55" s="11"/>
      <c r="AJ55" s="0" t="n">
        <v>100</v>
      </c>
      <c r="AK55" s="0" t="n">
        <v>0</v>
      </c>
      <c r="AL55" s="0" t="n">
        <f aca="false">AK55-0.0000470557218133333</f>
        <v>-4.70557218133333E-005</v>
      </c>
      <c r="AM55" s="0" t="n">
        <v>100</v>
      </c>
      <c r="AN55" s="0" t="n">
        <v>0</v>
      </c>
      <c r="AO55" s="0" t="n">
        <v>-4.70557218133333E-005</v>
      </c>
      <c r="AP55" s="0" t="n">
        <v>100</v>
      </c>
      <c r="AQ55" s="0" t="n">
        <v>0</v>
      </c>
      <c r="AR55" s="0" t="n">
        <v>0</v>
      </c>
      <c r="AS55" s="0" t="n">
        <v>100</v>
      </c>
      <c r="AT55" s="0" t="n">
        <v>0</v>
      </c>
      <c r="AU55" s="3" t="n">
        <v>0.0243580645513732</v>
      </c>
      <c r="AV55" s="0" t="n">
        <v>0.0654840518991059</v>
      </c>
      <c r="AW55" s="0" t="n">
        <v>0</v>
      </c>
      <c r="AZ55" s="0" t="n">
        <v>0.121334436027302</v>
      </c>
      <c r="BA55" s="0" t="n">
        <v>0.098934436027302</v>
      </c>
      <c r="BC55" s="0" t="n">
        <v>0.102096771250451</v>
      </c>
      <c r="BD55" s="0" t="n">
        <f aca="false">BC55-0.0224</f>
        <v>0.079696771250451</v>
      </c>
      <c r="BE55" s="0" t="n">
        <v>0.0561719972740934</v>
      </c>
      <c r="BF55" s="3" t="n">
        <v>0.0113719972740934</v>
      </c>
      <c r="BG55" s="0" t="n">
        <v>0.0688471338532733</v>
      </c>
      <c r="BH55" s="0" t="n">
        <f aca="false">M55/BG55</f>
        <v>0.982494594532071</v>
      </c>
      <c r="BI55" s="0" t="n">
        <v>0.407940736022288</v>
      </c>
      <c r="BJ55" s="0" t="n">
        <v>0.555029107747482</v>
      </c>
      <c r="BK55" s="0" t="n">
        <v>0</v>
      </c>
      <c r="BL55" s="0" t="n">
        <v>0</v>
      </c>
      <c r="BM55" s="0" t="n">
        <v>0</v>
      </c>
      <c r="BN55" s="0" t="e">
        <f aca="false">#REF!/#REF!</f>
        <v>#REF!</v>
      </c>
      <c r="BO55" s="0" t="n">
        <v>0.0066528012956</v>
      </c>
    </row>
    <row r="56" customFormat="false" ht="12.8" hidden="false" customHeight="false" outlineLevel="0" collapsed="false">
      <c r="A56" s="0" t="s">
        <v>109</v>
      </c>
      <c r="B56" s="0" t="s">
        <v>50</v>
      </c>
      <c r="C56" s="0" t="s">
        <v>59</v>
      </c>
      <c r="D56" s="0" t="s">
        <v>52</v>
      </c>
      <c r="E56" s="10" t="n">
        <v>0.06001</v>
      </c>
      <c r="F56" s="0" t="n">
        <v>0.9643</v>
      </c>
      <c r="G56" s="0" t="n">
        <v>47</v>
      </c>
      <c r="H56" s="0" t="n">
        <v>27</v>
      </c>
      <c r="I56" s="0" t="s">
        <v>53</v>
      </c>
      <c r="J56" s="0" t="n">
        <v>0</v>
      </c>
      <c r="K56" s="0" t="n">
        <v>0.078654</v>
      </c>
      <c r="L56" s="0" t="n">
        <v>0.00233353202664898</v>
      </c>
      <c r="M56" s="1" t="n">
        <v>0.0567450303662338</v>
      </c>
      <c r="N56" s="0" t="n">
        <v>0.0419323033158884</v>
      </c>
      <c r="O56" s="0" t="n">
        <v>0.152145373253179</v>
      </c>
      <c r="P56" s="0" t="n">
        <v>0.103423520397391</v>
      </c>
      <c r="Q56" s="0" t="n">
        <v>0.141591476655471</v>
      </c>
      <c r="R56" s="11" t="n">
        <v>0.019164241212</v>
      </c>
      <c r="S56" s="0" t="n">
        <v>0.0168286815853201</v>
      </c>
      <c r="T56" s="0" t="n">
        <v>0.000122424179643667</v>
      </c>
      <c r="U56" s="0" t="n">
        <v>0.000169479901457</v>
      </c>
      <c r="V56" s="0" t="n">
        <v>0</v>
      </c>
      <c r="Z56" s="1"/>
      <c r="AA56" s="1"/>
      <c r="AB56" s="11"/>
      <c r="AJ56" s="0" t="n">
        <v>0.800326645726043</v>
      </c>
      <c r="AK56" s="0" t="n">
        <v>0</v>
      </c>
      <c r="AL56" s="0" t="n">
        <f aca="false">AK56-0.0000470557218133333</f>
        <v>-4.70557218133333E-005</v>
      </c>
      <c r="AM56" s="0" t="n">
        <v>100</v>
      </c>
      <c r="AN56" s="0" t="n">
        <v>0</v>
      </c>
      <c r="AO56" s="0" t="n">
        <v>0.000122424179643667</v>
      </c>
      <c r="AP56" s="0" t="n">
        <v>0.800326645726043</v>
      </c>
      <c r="AQ56" s="0" t="n">
        <v>0</v>
      </c>
      <c r="AR56" s="0" t="n">
        <v>0</v>
      </c>
      <c r="AS56" s="0" t="n">
        <v>100</v>
      </c>
      <c r="AT56" s="0" t="n">
        <v>0</v>
      </c>
      <c r="AU56" s="3" t="n">
        <v>0.0217412947348271</v>
      </c>
      <c r="AV56" s="0" t="n">
        <v>0.00215525785344579</v>
      </c>
      <c r="AW56" s="0" t="n">
        <v>0</v>
      </c>
      <c r="AZ56" s="0" t="n">
        <v>0.193079531776103</v>
      </c>
      <c r="BA56" s="0" t="n">
        <v>0.170679531776103</v>
      </c>
      <c r="BC56" s="0" t="n">
        <v>0.125823520397391</v>
      </c>
      <c r="BD56" s="0" t="n">
        <f aca="false">BC56-0.0224</f>
        <v>0.103423520397391</v>
      </c>
      <c r="BE56" s="0" t="n">
        <v>0.0881199473080816</v>
      </c>
      <c r="BF56" s="3" t="n">
        <v>0.0433199473080816</v>
      </c>
      <c r="BG56" s="0" t="n">
        <v>0.0653116094068569</v>
      </c>
      <c r="BH56" s="0" t="n">
        <f aca="false">M56/BG56</f>
        <v>0.868835278774745</v>
      </c>
      <c r="BI56" s="0" t="n">
        <v>0.106067980679442</v>
      </c>
      <c r="BJ56" s="0" t="n">
        <v>1.02223579108636</v>
      </c>
      <c r="BK56" s="0" t="n">
        <v>0</v>
      </c>
      <c r="BL56" s="0" t="n">
        <v>0</v>
      </c>
      <c r="BM56" s="0" t="n">
        <v>0</v>
      </c>
      <c r="BN56" s="0" t="e">
        <f aca="false">#REF!/#REF!</f>
        <v>#REF!</v>
      </c>
      <c r="BO56" s="0" t="n">
        <v>0.019164241212</v>
      </c>
    </row>
    <row r="57" customFormat="false" ht="12.8" hidden="false" customHeight="false" outlineLevel="0" collapsed="false">
      <c r="A57" s="0" t="s">
        <v>110</v>
      </c>
      <c r="B57" s="0" t="s">
        <v>111</v>
      </c>
      <c r="C57" s="0" t="s">
        <v>51</v>
      </c>
      <c r="D57" s="0" t="s">
        <v>52</v>
      </c>
      <c r="E57" s="0" t="n">
        <v>0.3838</v>
      </c>
      <c r="F57" s="0" t="n">
        <v>3.2538</v>
      </c>
      <c r="G57" s="0" t="n">
        <v>610</v>
      </c>
      <c r="H57" s="0" t="n">
        <v>546</v>
      </c>
      <c r="I57" s="0" t="s">
        <v>55</v>
      </c>
      <c r="J57" s="0" t="n">
        <v>0.0533170588</v>
      </c>
      <c r="K57" s="0" t="n">
        <v>0.1611251</v>
      </c>
      <c r="L57" s="0" t="n">
        <v>0.030851635774448</v>
      </c>
      <c r="M57" s="1" t="n">
        <v>0.0329924640576692</v>
      </c>
      <c r="N57" s="0" t="n">
        <v>0.235948939212142</v>
      </c>
      <c r="O57" s="0" t="n">
        <v>0.312711841361249</v>
      </c>
      <c r="P57" s="0" t="n">
        <v>0.261318250701911</v>
      </c>
      <c r="Q57" s="0" t="n">
        <v>0.33973192756562</v>
      </c>
      <c r="R57" s="11" t="n">
        <v>0.226245254798</v>
      </c>
      <c r="S57" s="11" t="n">
        <v>0.195393619023552</v>
      </c>
      <c r="T57" s="0" t="n">
        <v>0.000145193475325333</v>
      </c>
      <c r="U57" s="11" t="n">
        <v>0.000193520905512</v>
      </c>
      <c r="V57" s="11" t="n">
        <v>0.000249754493997333</v>
      </c>
      <c r="Z57" s="1"/>
      <c r="AA57" s="1"/>
      <c r="AB57" s="11"/>
      <c r="AJ57" s="0" t="n">
        <v>3.67396452059107</v>
      </c>
      <c r="AK57" s="0" t="n">
        <v>0.000298721615608</v>
      </c>
      <c r="AL57" s="0" t="n">
        <f aca="false">AK57-0.0000483274301866667</f>
        <v>0.000250394185421333</v>
      </c>
      <c r="AM57" s="0" t="n">
        <v>0.702862924576801</v>
      </c>
      <c r="AN57" s="0" t="n">
        <v>7.14745553335487E-018</v>
      </c>
      <c r="AO57" s="0" t="n">
        <v>0.000145193475325333</v>
      </c>
      <c r="AP57" s="0" t="n">
        <v>3.67396452059107</v>
      </c>
      <c r="AQ57" s="0" t="n">
        <v>0.000298081924184</v>
      </c>
      <c r="AR57" s="0" t="n">
        <f aca="false">AQ57-0.0000483274301866667</f>
        <v>0.000249754493997333</v>
      </c>
      <c r="AS57" s="0" t="n">
        <v>0.713665427776824</v>
      </c>
      <c r="AT57" s="0" t="n">
        <v>9.24363821418942E-018</v>
      </c>
      <c r="AU57" s="3" t="n">
        <v>0.073694685232867</v>
      </c>
      <c r="AV57" s="0" t="n">
        <v>0.0768575472971168</v>
      </c>
      <c r="AW57" s="0" t="n">
        <v>0.140798560287182</v>
      </c>
      <c r="AZ57" s="0" t="n">
        <v>0.241798944849431</v>
      </c>
      <c r="BA57" s="0" t="n">
        <v>0.219198944849431</v>
      </c>
      <c r="BC57" s="0" t="n">
        <v>0.283918250701911</v>
      </c>
      <c r="BD57" s="0" t="n">
        <v>0.261318250701911</v>
      </c>
      <c r="BE57" s="0" t="n">
        <v>0.124762356605524</v>
      </c>
      <c r="BF57" s="3" t="n">
        <v>0.079562356605524</v>
      </c>
      <c r="BG57" s="0" t="n">
        <v>0.0465227787060422</v>
      </c>
      <c r="BH57" s="0" t="n">
        <f aca="false">M57/BG57</f>
        <v>0.709167959767293</v>
      </c>
      <c r="BI57" s="0" t="n">
        <v>1.229769E-014</v>
      </c>
      <c r="BJ57" s="0" t="n">
        <v>0.431234225163515</v>
      </c>
      <c r="BK57" s="0" t="n">
        <v>0.116081314256542</v>
      </c>
      <c r="BL57" s="0" t="n">
        <v>0.163398560287182</v>
      </c>
      <c r="BM57" s="0" t="n">
        <v>0.140798560287182</v>
      </c>
      <c r="BN57" s="0" t="e">
        <f aca="false">#REF!/#REF!</f>
        <v>#REF!</v>
      </c>
      <c r="BO57" s="0" t="n">
        <v>0</v>
      </c>
    </row>
    <row r="58" customFormat="false" ht="12.8" hidden="false" customHeight="false" outlineLevel="0" collapsed="false">
      <c r="A58" s="0" t="s">
        <v>54</v>
      </c>
      <c r="B58" s="0" t="s">
        <v>111</v>
      </c>
      <c r="C58" s="0" t="s">
        <v>51</v>
      </c>
      <c r="D58" s="0" t="s">
        <v>52</v>
      </c>
      <c r="E58" s="0" t="n">
        <v>0.251</v>
      </c>
      <c r="F58" s="0" t="n">
        <v>2.4558</v>
      </c>
      <c r="G58" s="0" t="n">
        <v>316</v>
      </c>
      <c r="H58" s="0" t="n">
        <v>273</v>
      </c>
      <c r="I58" s="0" t="s">
        <v>55</v>
      </c>
      <c r="J58" s="0" t="n">
        <v>0.0356724411</v>
      </c>
      <c r="K58" s="0" t="n">
        <v>0.1064833</v>
      </c>
      <c r="L58" s="0" t="n">
        <v>0.0158308683369867</v>
      </c>
      <c r="M58" s="1" t="n">
        <v>0.0334776324507354</v>
      </c>
      <c r="N58" s="0" t="n">
        <v>0.244278816720112</v>
      </c>
      <c r="O58" s="0" t="n">
        <v>0.232308109369396</v>
      </c>
      <c r="P58" s="0" t="n">
        <v>0.183516827218784</v>
      </c>
      <c r="Q58" s="0" t="n">
        <v>0.340616855835332</v>
      </c>
      <c r="R58" s="11" t="n">
        <v>0.133885561392</v>
      </c>
      <c r="S58" s="11" t="n">
        <v>0.118054693055013</v>
      </c>
      <c r="T58" s="0" t="n">
        <v>0.000156159589608833</v>
      </c>
      <c r="U58" s="11" t="n">
        <v>0.0002044870197955</v>
      </c>
      <c r="V58" s="11" t="n">
        <v>0</v>
      </c>
      <c r="Z58" s="1"/>
      <c r="AA58" s="1"/>
      <c r="AB58" s="11"/>
      <c r="AJ58" s="0" t="n">
        <v>100</v>
      </c>
      <c r="AK58" s="0" t="n">
        <v>0.000329971900022</v>
      </c>
      <c r="AL58" s="0" t="n">
        <f aca="false">AK58-0.0000483274301866667</f>
        <v>0.000281644469835333</v>
      </c>
      <c r="AM58" s="0" t="n">
        <v>0.595269520375447</v>
      </c>
      <c r="AN58" s="0" t="n">
        <v>1.700365E-014</v>
      </c>
      <c r="AO58" s="0" t="n">
        <v>0.000155071625087333</v>
      </c>
      <c r="AP58" s="0" t="n">
        <v>1.01008009336611</v>
      </c>
      <c r="AQ58" s="0" t="n">
        <v>0</v>
      </c>
      <c r="AR58" s="0" t="n">
        <v>0</v>
      </c>
      <c r="AS58" s="0" t="n">
        <v>0</v>
      </c>
      <c r="AT58" s="0" t="n">
        <v>0</v>
      </c>
      <c r="AU58" s="3" t="n">
        <v>0.085433536786076</v>
      </c>
      <c r="AV58" s="0" t="n">
        <v>0.00141504282761591</v>
      </c>
      <c r="AW58" s="0" t="n">
        <v>0.166432033375619</v>
      </c>
      <c r="AZ58" s="0" t="n">
        <v>0.237540272509263</v>
      </c>
      <c r="BA58" s="0" t="n">
        <v>0.214940272509263</v>
      </c>
      <c r="BC58" s="0" t="n">
        <v>0.206116827218784</v>
      </c>
      <c r="BD58" s="0" t="n">
        <v>0.183516827218784</v>
      </c>
      <c r="BE58" s="0" t="n">
        <v>0.110219099674652</v>
      </c>
      <c r="BF58" s="3" t="n">
        <v>0.065019099674652</v>
      </c>
      <c r="BG58" s="0" t="n">
        <v>0.0508995239165588</v>
      </c>
      <c r="BH58" s="0" t="n">
        <f aca="false">M58/BG58</f>
        <v>0.657719952461959</v>
      </c>
      <c r="BI58" s="0" t="n">
        <v>1.71579703193986E-017</v>
      </c>
      <c r="BJ58" s="0" t="n">
        <v>0.5611205761803</v>
      </c>
      <c r="BK58" s="0" t="n">
        <v>0.155506372661479</v>
      </c>
      <c r="BL58" s="0" t="n">
        <v>0.189032033375619</v>
      </c>
      <c r="BM58" s="0" t="n">
        <v>0.166432033375619</v>
      </c>
      <c r="BN58" s="0" t="e">
        <f aca="false">#REF!/#REF!</f>
        <v>#REF!</v>
      </c>
      <c r="BO58" s="0" t="e">
        <f aca="false">BN58-0.0226</f>
        <v>#REF!</v>
      </c>
    </row>
    <row r="59" customFormat="false" ht="12.8" hidden="false" customHeight="false" outlineLevel="0" collapsed="false">
      <c r="A59" s="0" t="s">
        <v>112</v>
      </c>
      <c r="B59" s="0" t="s">
        <v>111</v>
      </c>
      <c r="C59" s="0" t="s">
        <v>51</v>
      </c>
      <c r="D59" s="0" t="s">
        <v>52</v>
      </c>
      <c r="E59" s="0" t="n">
        <v>0.4823</v>
      </c>
      <c r="F59" s="0" t="n">
        <v>3.9433</v>
      </c>
      <c r="G59" s="0" t="n">
        <v>481</v>
      </c>
      <c r="H59" s="0" t="n">
        <v>435</v>
      </c>
      <c r="I59" s="0" t="s">
        <v>55</v>
      </c>
      <c r="J59" s="0" t="n">
        <v>0.0560115762</v>
      </c>
      <c r="K59" s="0" t="n">
        <v>0.1771058</v>
      </c>
      <c r="L59" s="0" t="n">
        <v>0.024331665730331</v>
      </c>
      <c r="M59" s="1" t="n">
        <v>0.0425582771341492</v>
      </c>
      <c r="N59" s="0" t="n">
        <v>0.334092911874534</v>
      </c>
      <c r="O59" s="0" t="n">
        <v>0.305714280534491</v>
      </c>
      <c r="P59" s="0" t="n">
        <v>0.23850308403488</v>
      </c>
      <c r="Q59" s="0" t="n">
        <v>0.415613135277938</v>
      </c>
      <c r="R59" s="11" t="n">
        <v>0.286456462686</v>
      </c>
      <c r="S59" s="11" t="n">
        <v>0.262124796955669</v>
      </c>
      <c r="T59" s="0" t="n">
        <v>0.000213627563587333</v>
      </c>
      <c r="U59" s="11" t="n">
        <v>0.000261954993774</v>
      </c>
      <c r="V59" s="11" t="n">
        <v>0</v>
      </c>
      <c r="Z59" s="1"/>
      <c r="AA59" s="1"/>
      <c r="AB59" s="11"/>
      <c r="AJ59" s="0" t="n">
        <v>100</v>
      </c>
      <c r="AK59" s="0" t="n">
        <v>0.000448343225328</v>
      </c>
      <c r="AL59" s="0" t="n">
        <f aca="false">AK59-0.0000483274301866667</f>
        <v>0.000400015795141333</v>
      </c>
      <c r="AM59" s="0" t="n">
        <v>0.991143809779074</v>
      </c>
      <c r="AN59" s="0" t="n">
        <v>1.0088434578479E-022</v>
      </c>
      <c r="AO59" s="0" t="n">
        <v>0.000209918194984833</v>
      </c>
      <c r="AP59" s="0" t="n">
        <v>1.09193718598075</v>
      </c>
      <c r="AQ59" s="0" t="n">
        <v>0</v>
      </c>
      <c r="AR59" s="0" t="n">
        <v>0</v>
      </c>
      <c r="AS59" s="0" t="n">
        <v>0</v>
      </c>
      <c r="AT59" s="0" t="n">
        <v>0</v>
      </c>
      <c r="AU59" s="3" t="n">
        <v>0.131090007154666</v>
      </c>
      <c r="AV59" s="0" t="n">
        <v>0.22423864493286</v>
      </c>
      <c r="AW59" s="0" t="n">
        <v>0.143159517283272</v>
      </c>
      <c r="AZ59" s="0" t="n">
        <v>0.190284812275392</v>
      </c>
      <c r="BA59" s="0" t="n">
        <v>0.167684812275392</v>
      </c>
      <c r="BC59" s="0" t="n">
        <v>0.26110308403488</v>
      </c>
      <c r="BD59" s="0" t="n">
        <v>0.23850308403488</v>
      </c>
      <c r="BE59" s="0" t="n">
        <v>0.187249613961303</v>
      </c>
      <c r="BF59" s="3" t="n">
        <v>0.142049613961303</v>
      </c>
      <c r="BG59" s="0" t="n">
        <v>0.0650647379199319</v>
      </c>
      <c r="BH59" s="0" t="n">
        <f aca="false">M59/BG59</f>
        <v>0.654091271166281</v>
      </c>
      <c r="BI59" s="0" t="n">
        <v>7.55627564624034E-018</v>
      </c>
      <c r="BJ59" s="0" t="n">
        <v>0.72914508111091</v>
      </c>
      <c r="BK59" s="0" t="n">
        <v>0.219231054241902</v>
      </c>
      <c r="BL59" s="0" t="n">
        <v>0.165759517283272</v>
      </c>
      <c r="BM59" s="0" t="n">
        <v>0.143159517283272</v>
      </c>
      <c r="BN59" s="0" t="e">
        <f aca="false">#REF!/#REF!</f>
        <v>#REF!</v>
      </c>
      <c r="BO59" s="0" t="e">
        <f aca="false">BN59-0.0226</f>
        <v>#REF!</v>
      </c>
    </row>
    <row r="60" customFormat="false" ht="12.8" hidden="false" customHeight="false" outlineLevel="0" collapsed="false">
      <c r="A60" s="0" t="s">
        <v>113</v>
      </c>
      <c r="B60" s="0" t="s">
        <v>111</v>
      </c>
      <c r="C60" s="0" t="s">
        <v>51</v>
      </c>
      <c r="D60" s="0" t="s">
        <v>52</v>
      </c>
      <c r="E60" s="0" t="n">
        <v>0.2515</v>
      </c>
      <c r="F60" s="0" t="n">
        <v>2.6055</v>
      </c>
      <c r="G60" s="0" t="n">
        <v>286</v>
      </c>
      <c r="H60" s="0" t="n">
        <v>250</v>
      </c>
      <c r="I60" s="0" t="s">
        <v>55</v>
      </c>
      <c r="J60" s="0" t="n">
        <v>0.02638443424</v>
      </c>
      <c r="K60" s="0" t="n">
        <v>0.1105389</v>
      </c>
      <c r="L60" s="0" t="n">
        <v>0.0144591801270204</v>
      </c>
      <c r="M60" s="1" t="n">
        <v>0.0394876475960788</v>
      </c>
      <c r="N60" s="0" t="n">
        <v>0.168308089849222</v>
      </c>
      <c r="O60" s="0" t="n">
        <v>0.285594077635951</v>
      </c>
      <c r="P60" s="0" t="n">
        <v>0.190187144182736</v>
      </c>
      <c r="Q60" s="0" t="n">
        <v>0.21096237787667</v>
      </c>
      <c r="R60" s="11" t="n">
        <v>0.12714748606</v>
      </c>
      <c r="S60" s="11" t="n">
        <v>0.11268830593298</v>
      </c>
      <c r="T60" s="0" t="n">
        <v>0.000154375662820333</v>
      </c>
      <c r="U60" s="11" t="n">
        <v>0.000202703093007</v>
      </c>
      <c r="V60" s="11" t="n">
        <v>0</v>
      </c>
      <c r="Z60" s="1"/>
      <c r="AA60" s="1"/>
      <c r="AB60" s="11"/>
      <c r="AJ60" s="0" t="n">
        <v>100</v>
      </c>
      <c r="AK60" s="0" t="n">
        <v>0.0003409245498685</v>
      </c>
      <c r="AL60" s="0" t="n">
        <f aca="false">AK60-0.0000483274301866667</f>
        <v>0.000292597119681833</v>
      </c>
      <c r="AM60" s="0" t="n">
        <v>0.749731039776441</v>
      </c>
      <c r="AN60" s="0" t="n">
        <v>5.31670591714E-009</v>
      </c>
      <c r="AO60" s="0" t="n">
        <v>0.000154375662820333</v>
      </c>
      <c r="AP60" s="0" t="n">
        <v>7.66212757610351</v>
      </c>
      <c r="AQ60" s="0" t="n">
        <v>0</v>
      </c>
      <c r="AR60" s="0" t="n">
        <v>0</v>
      </c>
      <c r="AS60" s="0" t="n">
        <v>0</v>
      </c>
      <c r="AT60" s="0" t="n">
        <v>0</v>
      </c>
      <c r="AU60" s="3" t="n">
        <v>0.065394579501474</v>
      </c>
      <c r="AV60" s="0" t="n">
        <v>0.240467914387641</v>
      </c>
      <c r="AW60" s="0" t="n">
        <v>0.130605902842405</v>
      </c>
      <c r="AZ60" s="0" t="n">
        <v>0.183666413775858</v>
      </c>
      <c r="BA60" s="0" t="n">
        <v>0.161066413775858</v>
      </c>
      <c r="BC60" s="0" t="n">
        <v>0.212787144182736</v>
      </c>
      <c r="BD60" s="0" t="n">
        <v>0.190187144182736</v>
      </c>
      <c r="BE60" s="0" t="n">
        <v>0.109324778947877</v>
      </c>
      <c r="BF60" s="3" t="n">
        <v>0.064124778947877</v>
      </c>
      <c r="BG60" s="0" t="n">
        <v>0.0558026571624063</v>
      </c>
      <c r="BH60" s="0" t="n">
        <f aca="false">M60/BG60</f>
        <v>0.707630238487662</v>
      </c>
      <c r="BI60" s="0" t="n">
        <v>2.7557652724323E-007</v>
      </c>
      <c r="BJ60" s="0" t="n">
        <v>0.524315999196929</v>
      </c>
      <c r="BK60" s="0" t="n">
        <v>0.117113193516482</v>
      </c>
      <c r="BL60" s="0" t="n">
        <v>0.153205902842405</v>
      </c>
      <c r="BM60" s="0" t="n">
        <v>0.130605902842405</v>
      </c>
      <c r="BN60" s="0" t="e">
        <f aca="false">#REF!/#REF!</f>
        <v>#REF!</v>
      </c>
      <c r="BO60" s="0" t="e">
        <f aca="false">BN60-0.0226</f>
        <v>#REF!</v>
      </c>
    </row>
    <row r="61" customFormat="false" ht="12.8" hidden="false" customHeight="false" outlineLevel="0" collapsed="false">
      <c r="A61" s="12" t="s">
        <v>114</v>
      </c>
      <c r="B61" s="0" t="s">
        <v>111</v>
      </c>
      <c r="C61" s="0" t="s">
        <v>51</v>
      </c>
      <c r="D61" s="0" t="s">
        <v>52</v>
      </c>
      <c r="E61" s="13" t="n">
        <v>0.538775</v>
      </c>
      <c r="F61" s="13" t="n">
        <v>4.237</v>
      </c>
      <c r="G61" s="0" t="n">
        <v>1146</v>
      </c>
      <c r="H61" s="0" t="n">
        <v>1087</v>
      </c>
      <c r="I61" s="0" t="s">
        <v>55</v>
      </c>
      <c r="J61" s="0" t="n">
        <v>0.0402</v>
      </c>
      <c r="K61" s="14" t="n">
        <v>0.3832309</v>
      </c>
      <c r="L61" s="14" t="n">
        <v>0.057961704053317</v>
      </c>
      <c r="M61" s="1" t="n">
        <v>0.0338354816640548</v>
      </c>
      <c r="N61" s="0" t="n">
        <v>0.278247132931815</v>
      </c>
      <c r="O61" s="0" t="n">
        <v>0.374959665244134</v>
      </c>
      <c r="P61" s="15" t="n">
        <v>0.319625169812402</v>
      </c>
      <c r="Q61" s="0" t="n">
        <v>0.358412913964955</v>
      </c>
      <c r="R61" s="11" t="n">
        <v>0.42691505637</v>
      </c>
      <c r="S61" s="11" t="n">
        <v>0.368953352316683</v>
      </c>
      <c r="T61" s="0" t="n">
        <v>0.000168645862467333</v>
      </c>
      <c r="U61" s="11" t="n">
        <v>0.000216973292654</v>
      </c>
      <c r="V61" s="11" t="n">
        <v>0.000224564157252333</v>
      </c>
      <c r="Z61" s="1"/>
      <c r="AA61" s="1"/>
      <c r="AB61" s="11"/>
      <c r="AJ61" s="0" t="n">
        <v>1.00099875825268</v>
      </c>
      <c r="AK61" s="0" t="n">
        <v>0.000281944154323</v>
      </c>
      <c r="AL61" s="0" t="n">
        <f aca="false">AK61-0.0000483274301866667</f>
        <v>0.000233616724136333</v>
      </c>
      <c r="AM61" s="0" t="n">
        <v>0.612414283077606</v>
      </c>
      <c r="AN61" s="0" t="n">
        <v>8.14338468805546E-029</v>
      </c>
      <c r="AO61" s="0" t="n">
        <v>0.000168426733097333</v>
      </c>
      <c r="AP61" s="0" t="n">
        <v>1.01949709662281</v>
      </c>
      <c r="AQ61" s="0" t="n">
        <v>0.000272891587439</v>
      </c>
      <c r="AR61" s="0" t="n">
        <f aca="false">AQ61-0.0000483274301866667</f>
        <v>0.000224564157252333</v>
      </c>
      <c r="AS61" s="0" t="n">
        <v>0.644572756008374</v>
      </c>
      <c r="AT61" s="0" t="n">
        <v>4.11141502786504E-025</v>
      </c>
      <c r="AU61" s="3" t="n">
        <v>0.122954412946279</v>
      </c>
      <c r="AV61" s="0" t="n">
        <v>0.462761217908816</v>
      </c>
      <c r="AW61" s="0" t="n">
        <v>0.159650202539609</v>
      </c>
      <c r="AZ61" s="0" t="n">
        <v>0.255078306953469</v>
      </c>
      <c r="BA61" s="0" t="n">
        <v>0.232478306953469</v>
      </c>
      <c r="BC61" s="0" t="n">
        <v>0.342225169812402</v>
      </c>
      <c r="BD61" s="0" t="n">
        <v>0.319625169812402</v>
      </c>
      <c r="BE61" s="0" t="n">
        <v>0.164449245656817</v>
      </c>
      <c r="BF61" s="3" t="n">
        <v>0.119249245656817</v>
      </c>
      <c r="BG61" s="0" t="n">
        <v>0.0457114606441817</v>
      </c>
      <c r="BH61" s="0" t="n">
        <f aca="false">M61/BG61</f>
        <v>0.740196904391885</v>
      </c>
      <c r="BI61" s="0" t="n">
        <v>1.92123851185698E-028</v>
      </c>
      <c r="BJ61" s="0" t="n">
        <v>0.489075551572007</v>
      </c>
      <c r="BK61" s="0" t="n">
        <v>0.134096717751784</v>
      </c>
      <c r="BL61" s="0" t="n">
        <v>0.182250202539609</v>
      </c>
      <c r="BM61" s="0" t="n">
        <v>0.159650202539609</v>
      </c>
      <c r="BN61" s="0" t="e">
        <f aca="false">#REF!/#REF!</f>
        <v>#REF!</v>
      </c>
      <c r="BO61" s="0" t="e">
        <f aca="false">BN61-0.0226</f>
        <v>#REF!</v>
      </c>
    </row>
    <row r="62" customFormat="false" ht="12.8" hidden="false" customHeight="false" outlineLevel="0" collapsed="false">
      <c r="A62" s="0" t="s">
        <v>115</v>
      </c>
      <c r="B62" s="0" t="s">
        <v>111</v>
      </c>
      <c r="C62" s="0" t="s">
        <v>59</v>
      </c>
      <c r="D62" s="0" t="s">
        <v>52</v>
      </c>
      <c r="E62" s="0" t="n">
        <v>0.0784</v>
      </c>
      <c r="F62" s="0" t="n">
        <v>1.227</v>
      </c>
      <c r="G62" s="0" t="n">
        <v>185</v>
      </c>
      <c r="H62" s="0" t="n">
        <v>157</v>
      </c>
      <c r="I62" s="0" t="s">
        <v>53</v>
      </c>
      <c r="J62" s="0" t="n">
        <v>0</v>
      </c>
      <c r="K62" s="0" t="n">
        <v>0.0573297</v>
      </c>
      <c r="L62" s="0" t="n">
        <v>0.00717731274711487</v>
      </c>
      <c r="M62" s="1" t="n">
        <v>0.0335523581227067</v>
      </c>
      <c r="N62" s="0" t="n">
        <v>0.179941744139346</v>
      </c>
      <c r="O62" s="0" t="n">
        <v>0.203294484888107</v>
      </c>
      <c r="P62" s="0" t="n">
        <v>0.140871368148147</v>
      </c>
      <c r="Q62" s="0" t="n">
        <v>0.188998198031485</v>
      </c>
      <c r="R62" s="11" t="n">
        <v>0.0505451321465</v>
      </c>
      <c r="S62" s="11" t="n">
        <v>0.0433678193993851</v>
      </c>
      <c r="T62" s="0" t="n">
        <v>0.000122309232104</v>
      </c>
      <c r="U62" s="11" t="n">
        <v>0.000159443889464</v>
      </c>
      <c r="V62" s="11" t="n">
        <v>0</v>
      </c>
      <c r="Z62" s="1"/>
      <c r="AA62" s="1"/>
      <c r="AB62" s="11"/>
      <c r="AJ62" s="0" t="n">
        <v>0.277411167856141</v>
      </c>
      <c r="AK62" s="0" t="n">
        <v>0.000194550195789</v>
      </c>
      <c r="AL62" s="0" t="n">
        <f aca="false">AK62-0.00003713465736</f>
        <v>0.000157415538429</v>
      </c>
      <c r="AM62" s="0" t="n">
        <v>0.492896404426544</v>
      </c>
      <c r="AN62" s="0" t="n">
        <v>0.0177416977450751</v>
      </c>
      <c r="AO62" s="0" t="n">
        <v>0.000122309232104</v>
      </c>
      <c r="AP62" s="0" t="n">
        <v>0.277411167856141</v>
      </c>
      <c r="AQ62" s="0" t="n">
        <v>0</v>
      </c>
      <c r="AR62" s="0" t="n">
        <v>0</v>
      </c>
      <c r="AS62" s="0" t="n">
        <v>0</v>
      </c>
      <c r="AT62" s="0" t="n">
        <v>0</v>
      </c>
      <c r="AU62" s="3" t="n">
        <v>0.055981820489271</v>
      </c>
      <c r="AV62" s="0" t="n">
        <v>0.380816490530513</v>
      </c>
      <c r="AW62" s="0" t="n">
        <v>0</v>
      </c>
      <c r="AZ62" s="0" t="n">
        <v>0.244010206906897</v>
      </c>
      <c r="BA62" s="0" t="n">
        <v>0.223310206906897</v>
      </c>
      <c r="BC62" s="0" t="n">
        <v>0.161571368148147</v>
      </c>
      <c r="BD62" s="0" t="n">
        <v>0.140871368148147</v>
      </c>
      <c r="BE62" s="0" t="n">
        <v>0.0933267181400354</v>
      </c>
      <c r="BF62" s="3" t="n">
        <v>0.0519267181400354</v>
      </c>
      <c r="BG62" s="0" t="n">
        <v>0.0414686578700137</v>
      </c>
      <c r="BH62" s="0" t="n">
        <f aca="false">M62/BG62</f>
        <v>0.809101616644523</v>
      </c>
      <c r="BI62" s="0" t="n">
        <v>0.00510827695771583</v>
      </c>
      <c r="BJ62" s="0" t="n">
        <v>0.623767424032563</v>
      </c>
      <c r="BK62" s="0" t="n">
        <v>0</v>
      </c>
      <c r="BL62" s="0" t="n">
        <v>0</v>
      </c>
      <c r="BM62" s="0" t="n">
        <v>0</v>
      </c>
      <c r="BN62" s="0" t="e">
        <f aca="false">#REF!/#REF!</f>
        <v>#REF!</v>
      </c>
      <c r="BO62" s="0" t="n">
        <v>0</v>
      </c>
    </row>
    <row r="63" customFormat="false" ht="12.8" hidden="false" customHeight="false" outlineLevel="0" collapsed="false">
      <c r="A63" s="16" t="s">
        <v>116</v>
      </c>
      <c r="B63" s="0" t="s">
        <v>111</v>
      </c>
      <c r="C63" s="0" t="s">
        <v>51</v>
      </c>
      <c r="D63" s="0" t="s">
        <v>52</v>
      </c>
      <c r="E63" s="16" t="n">
        <v>0.1135</v>
      </c>
      <c r="F63" s="16" t="n">
        <v>1.733</v>
      </c>
      <c r="G63" s="0" t="n">
        <v>123</v>
      </c>
      <c r="H63" s="0" t="n">
        <v>93</v>
      </c>
      <c r="I63" s="17" t="s">
        <v>53</v>
      </c>
      <c r="J63" s="0" t="n">
        <v>0.0266235489</v>
      </c>
      <c r="K63" s="0" t="n">
        <v>0.0684625</v>
      </c>
      <c r="L63" s="0" t="n">
        <v>0.00621770807771846</v>
      </c>
      <c r="M63" s="1" t="n">
        <v>0.0338835886869082</v>
      </c>
      <c r="N63" s="0" t="n">
        <v>0.052220751350358</v>
      </c>
      <c r="O63" s="0" t="n">
        <v>0.167539865314832</v>
      </c>
      <c r="P63" s="0" t="n">
        <v>0.119739612810449</v>
      </c>
      <c r="Q63" s="0" t="n">
        <v>0.119668217140961</v>
      </c>
      <c r="R63" s="11" t="n">
        <v>0.0295983739568</v>
      </c>
      <c r="S63" s="11" t="n">
        <v>0.0233806658790815</v>
      </c>
      <c r="T63" s="0" t="n">
        <v>8.77991856343333E-005</v>
      </c>
      <c r="U63" s="11" t="n">
        <v>0.000136126615821</v>
      </c>
      <c r="V63" s="11" t="n">
        <v>0</v>
      </c>
      <c r="Z63" s="1"/>
      <c r="AA63" s="1"/>
      <c r="AB63" s="11"/>
      <c r="AJ63" s="0" t="n">
        <v>1.29326988084717</v>
      </c>
      <c r="AK63" s="0" t="n">
        <v>0.000198637167449</v>
      </c>
      <c r="AL63" s="0" t="n">
        <f aca="false">AK63-0.0000483274301866667</f>
        <v>0.000150309737262333</v>
      </c>
      <c r="AM63" s="0" t="n">
        <v>0.653234056082314</v>
      </c>
      <c r="AN63" s="0" t="n">
        <v>0.00107155122547696</v>
      </c>
      <c r="AO63" s="0" t="n">
        <v>8.77991856343333E-005</v>
      </c>
      <c r="AP63" s="0" t="n">
        <v>1.29326988084717</v>
      </c>
      <c r="AQ63" s="0" t="n">
        <v>0</v>
      </c>
      <c r="AR63" s="0" t="n">
        <v>0</v>
      </c>
      <c r="AS63" s="0" t="n">
        <v>0</v>
      </c>
      <c r="AT63" s="0" t="n">
        <v>0</v>
      </c>
      <c r="AU63" s="3" t="n">
        <v>0.0345762322282292</v>
      </c>
      <c r="AV63" s="0" t="n">
        <v>0.119112093942121</v>
      </c>
      <c r="AW63" s="0" t="n">
        <v>0.184886587040658</v>
      </c>
      <c r="AZ63" s="0" t="n">
        <v>0.138563942827428</v>
      </c>
      <c r="BA63" s="0" t="n">
        <v>0.115963942827428</v>
      </c>
      <c r="BC63" s="0" t="n">
        <v>0.142339612810449</v>
      </c>
      <c r="BD63" s="0" t="n">
        <v>0.119739612810449</v>
      </c>
      <c r="BE63" s="0" t="n">
        <v>0.0770620699035142</v>
      </c>
      <c r="BF63" s="3" t="n">
        <v>0.0318620699035142</v>
      </c>
      <c r="BG63" s="0" t="n">
        <v>0.0390239299529519</v>
      </c>
      <c r="BH63" s="0" t="n">
        <f aca="false">M63/BG63</f>
        <v>0.868277201393068</v>
      </c>
      <c r="BI63" s="0" t="n">
        <v>0.0364235071437397</v>
      </c>
      <c r="BJ63" s="0" t="n">
        <v>0.571894114516163</v>
      </c>
      <c r="BK63" s="0" t="n">
        <v>0.205023645373741</v>
      </c>
      <c r="BL63" s="0" t="n">
        <v>0.207486587040658</v>
      </c>
      <c r="BM63" s="0" t="n">
        <v>0.184886587040658</v>
      </c>
      <c r="BN63" s="0" t="e">
        <f aca="false">#REF!/#REF!</f>
        <v>#REF!</v>
      </c>
      <c r="BO63" s="0" t="e">
        <f aca="false">BN63-0.0226</f>
        <v>#REF!</v>
      </c>
    </row>
    <row r="64" customFormat="false" ht="12.8" hidden="false" customHeight="false" outlineLevel="0" collapsed="false">
      <c r="A64" s="0" t="s">
        <v>117</v>
      </c>
      <c r="B64" s="0" t="s">
        <v>111</v>
      </c>
      <c r="C64" s="0" t="s">
        <v>59</v>
      </c>
      <c r="D64" s="0" t="s">
        <v>52</v>
      </c>
      <c r="E64" s="0" t="n">
        <v>0.0917</v>
      </c>
      <c r="F64" s="0" t="n">
        <v>1.714</v>
      </c>
      <c r="G64" s="0" t="n">
        <v>178</v>
      </c>
      <c r="H64" s="0" t="n">
        <v>142</v>
      </c>
      <c r="I64" s="0" t="s">
        <v>53</v>
      </c>
      <c r="J64" s="0" t="n">
        <v>0</v>
      </c>
      <c r="K64" s="0" t="n">
        <v>0.0230304</v>
      </c>
      <c r="L64" s="0" t="n">
        <v>0.00690672124063474</v>
      </c>
      <c r="M64" s="1" t="n">
        <v>0.0372986781637961</v>
      </c>
      <c r="N64" s="0" t="n">
        <v>0.249520968576386</v>
      </c>
      <c r="O64" s="0" t="n">
        <v>0.240401191420618</v>
      </c>
      <c r="P64" s="0" t="n">
        <v>0.156664469679275</v>
      </c>
      <c r="Q64" s="0" t="n">
        <v>0.240292962490382</v>
      </c>
      <c r="R64" s="11" t="n">
        <v>0.04552336705</v>
      </c>
      <c r="S64" s="11" t="n">
        <v>0.0386166458093653</v>
      </c>
      <c r="T64" s="0" t="n">
        <v>0.000101571157827</v>
      </c>
      <c r="U64" s="11" t="n">
        <v>0.000138705815187</v>
      </c>
      <c r="V64" s="11" t="n">
        <v>0</v>
      </c>
      <c r="Z64" s="1"/>
      <c r="AA64" s="1"/>
      <c r="AB64" s="11"/>
      <c r="AJ64" s="0" t="n">
        <v>-0.209782849726286</v>
      </c>
      <c r="AK64" s="0" t="n">
        <v>0.000152744552628</v>
      </c>
      <c r="AL64" s="0" t="n">
        <f aca="false">AK64-0.00003713465736</f>
        <v>0.000115609895268</v>
      </c>
      <c r="AM64" s="0" t="n">
        <v>1.16555526832326</v>
      </c>
      <c r="AN64" s="0" t="n">
        <v>0.318355188325669</v>
      </c>
      <c r="AO64" s="0" t="n">
        <v>0.000101571157827</v>
      </c>
      <c r="AP64" s="0" t="n">
        <v>-0.209782849726286</v>
      </c>
      <c r="AQ64" s="0" t="n">
        <v>0</v>
      </c>
      <c r="AR64" s="0" t="n">
        <v>0</v>
      </c>
      <c r="AS64" s="0" t="n">
        <v>0</v>
      </c>
      <c r="AT64" s="0" t="n">
        <v>0</v>
      </c>
      <c r="AU64" s="3" t="n">
        <v>0.0346677170198133</v>
      </c>
      <c r="AV64" s="0" t="n">
        <v>0.263154600703992</v>
      </c>
      <c r="AW64" s="0" t="n">
        <v>0</v>
      </c>
      <c r="AZ64" s="0" t="n">
        <v>0.321756452407537</v>
      </c>
      <c r="BA64" s="0" t="n">
        <v>0.301056452407537</v>
      </c>
      <c r="BC64" s="0" t="n">
        <v>0.177364469679275</v>
      </c>
      <c r="BD64" s="0" t="n">
        <v>0.156664469679275</v>
      </c>
      <c r="BE64" s="0" t="n">
        <v>0.0802869761767703</v>
      </c>
      <c r="BF64" s="3" t="n">
        <v>0.0388869761767703</v>
      </c>
      <c r="BG64" s="0" t="n">
        <v>0.0469416353898295</v>
      </c>
      <c r="BH64" s="0" t="n">
        <f aca="false">M64/BG64</f>
        <v>0.794575601255625</v>
      </c>
      <c r="BI64" s="0" t="n">
        <v>0.0265735434208982</v>
      </c>
      <c r="BJ64" s="0" t="n">
        <v>0.536861182285907</v>
      </c>
      <c r="BK64" s="0" t="n">
        <v>0</v>
      </c>
      <c r="BL64" s="0" t="n">
        <v>0</v>
      </c>
      <c r="BM64" s="0" t="n">
        <v>0</v>
      </c>
      <c r="BN64" s="0" t="e">
        <f aca="false">#REF!/#REF!</f>
        <v>#REF!</v>
      </c>
      <c r="BO64" s="0" t="n">
        <v>0</v>
      </c>
    </row>
    <row r="65" customFormat="false" ht="12.8" hidden="false" customHeight="false" outlineLevel="0" collapsed="false">
      <c r="A65" s="0" t="s">
        <v>118</v>
      </c>
      <c r="B65" s="0" t="s">
        <v>111</v>
      </c>
      <c r="C65" s="0" t="s">
        <v>51</v>
      </c>
      <c r="D65" s="0" t="s">
        <v>52</v>
      </c>
      <c r="E65" s="0" t="n">
        <v>0.475</v>
      </c>
      <c r="F65" s="0" t="n">
        <v>4.1065</v>
      </c>
      <c r="G65" s="0" t="n">
        <v>594</v>
      </c>
      <c r="H65" s="0" t="n">
        <v>537</v>
      </c>
      <c r="I65" s="0" t="s">
        <v>55</v>
      </c>
      <c r="J65" s="0" t="n">
        <v>0.0640702248</v>
      </c>
      <c r="K65" s="0" t="n">
        <v>0.1894812</v>
      </c>
      <c r="L65" s="0" t="n">
        <v>0.0300517674969794</v>
      </c>
      <c r="M65" s="1" t="n">
        <v>0.0446696689842999</v>
      </c>
      <c r="N65" s="0" t="n">
        <v>0.233583961490163</v>
      </c>
      <c r="O65" s="0" t="n">
        <v>0.443010124621433</v>
      </c>
      <c r="P65" s="0" t="n">
        <v>0.317553735720166</v>
      </c>
      <c r="Q65" s="0" t="n">
        <v>0.302235925550299</v>
      </c>
      <c r="R65" s="11" t="n">
        <v>0.343328999368</v>
      </c>
      <c r="S65" s="11" t="n">
        <v>0.313277231871021</v>
      </c>
      <c r="T65" s="0" t="n">
        <v>0.000163859501216333</v>
      </c>
      <c r="U65" s="11" t="n">
        <v>0.000212186931403</v>
      </c>
      <c r="V65" s="11" t="n">
        <v>0</v>
      </c>
      <c r="Z65" s="1"/>
      <c r="AA65" s="1"/>
      <c r="AB65" s="11"/>
      <c r="AJ65" s="0" t="n">
        <v>3.71881902103553</v>
      </c>
      <c r="AK65" s="0" t="n">
        <v>0.000407844536378</v>
      </c>
      <c r="AL65" s="0" t="n">
        <f aca="false">AK65-0.0000483274301866667</f>
        <v>0.000359517106191333</v>
      </c>
      <c r="AM65" s="0" t="n">
        <v>100</v>
      </c>
      <c r="AN65" s="0" t="n">
        <v>5.53147326083316E-021</v>
      </c>
      <c r="AO65" s="0" t="n">
        <v>0.000160085107441333</v>
      </c>
      <c r="AP65" s="0" t="n">
        <v>3.85431203324059</v>
      </c>
      <c r="AQ65" s="0" t="n">
        <v>0</v>
      </c>
      <c r="AR65" s="0" t="n">
        <v>0</v>
      </c>
      <c r="AS65" s="0" t="n">
        <v>0</v>
      </c>
      <c r="AT65" s="0" t="n">
        <v>0</v>
      </c>
      <c r="AU65" s="3" t="n">
        <v>0.113426373721072</v>
      </c>
      <c r="AV65" s="0" t="n">
        <v>7.9055778769352E-005</v>
      </c>
      <c r="AW65" s="0" t="n">
        <v>0.119317565611016</v>
      </c>
      <c r="AZ65" s="0" t="n">
        <v>0.257585068021958</v>
      </c>
      <c r="BA65" s="0" t="n">
        <v>0.234985068021958</v>
      </c>
      <c r="BC65" s="0" t="n">
        <v>0.340153735720166</v>
      </c>
      <c r="BD65" s="0" t="n">
        <v>0.317553735720166</v>
      </c>
      <c r="BE65" s="0" t="n">
        <v>0.142026959426732</v>
      </c>
      <c r="BF65" s="3" t="n">
        <v>0.096826959426732</v>
      </c>
      <c r="BG65" s="0" t="n">
        <v>0.0660309469821583</v>
      </c>
      <c r="BH65" s="0" t="n">
        <f aca="false">M65/BG65</f>
        <v>0.676495961755171</v>
      </c>
      <c r="BI65" s="0" t="n">
        <v>1.54542409550886E-017</v>
      </c>
      <c r="BJ65" s="0" t="n">
        <v>0.462885409018429</v>
      </c>
      <c r="BK65" s="0" t="n">
        <v>0.0730227585632305</v>
      </c>
      <c r="BL65" s="0" t="n">
        <v>0.141917565611016</v>
      </c>
      <c r="BM65" s="0" t="n">
        <v>0.119317565611016</v>
      </c>
      <c r="BN65" s="0" t="e">
        <f aca="false">#REF!/#REF!</f>
        <v>#REF!</v>
      </c>
      <c r="BO65" s="0" t="e">
        <f aca="false">BN65-0.0226</f>
        <v>#REF!</v>
      </c>
    </row>
    <row r="66" customFormat="false" ht="12.8" hidden="false" customHeight="false" outlineLevel="0" collapsed="false">
      <c r="A66" s="0" t="s">
        <v>119</v>
      </c>
      <c r="B66" s="0" t="s">
        <v>111</v>
      </c>
      <c r="C66" s="0" t="s">
        <v>59</v>
      </c>
      <c r="D66" s="0" t="s">
        <v>52</v>
      </c>
      <c r="E66" s="0" t="n">
        <v>0.2144</v>
      </c>
      <c r="F66" s="0" t="n">
        <v>2.178</v>
      </c>
      <c r="G66" s="0" t="n">
        <v>544</v>
      </c>
      <c r="H66" s="0" t="n">
        <v>494</v>
      </c>
      <c r="I66" s="0" t="s">
        <v>55</v>
      </c>
      <c r="J66" s="0" t="n">
        <v>0</v>
      </c>
      <c r="K66" s="0" t="n">
        <v>0.1108822</v>
      </c>
      <c r="L66" s="0" t="n">
        <v>0.0211114000978472</v>
      </c>
      <c r="M66" s="1" t="n">
        <v>0.0330774933659261</v>
      </c>
      <c r="N66" s="0" t="n">
        <v>0.236068314898856</v>
      </c>
      <c r="O66" s="0" t="n">
        <v>0.274579550903995</v>
      </c>
      <c r="P66" s="0" t="n">
        <v>0.221662727921854</v>
      </c>
      <c r="Q66" s="0" t="n">
        <v>0.313037693222368</v>
      </c>
      <c r="R66" s="11" t="n">
        <v>0.149875938539</v>
      </c>
      <c r="S66" s="11" t="n">
        <v>0.128764538441153</v>
      </c>
      <c r="T66" s="0" t="n">
        <v>0.0001446403577825</v>
      </c>
      <c r="U66" s="11" t="n">
        <v>0.0001817750151425</v>
      </c>
      <c r="V66" s="11" t="n">
        <v>0</v>
      </c>
      <c r="Z66" s="1"/>
      <c r="AA66" s="1"/>
      <c r="AB66" s="11"/>
      <c r="AJ66" s="0" t="n">
        <v>1.09445204109486</v>
      </c>
      <c r="AK66" s="0" t="n">
        <v>0.000223267616154</v>
      </c>
      <c r="AL66" s="0" t="n">
        <f aca="false">AK66-0.00003713465736</f>
        <v>0.000186132958794</v>
      </c>
      <c r="AM66" s="0" t="n">
        <v>0.365082016787572</v>
      </c>
      <c r="AN66" s="0" t="n">
        <v>1.2498358138176E-007</v>
      </c>
      <c r="AO66" s="0" t="n">
        <v>0.0001446403577825</v>
      </c>
      <c r="AP66" s="0" t="n">
        <v>1.09445204109486</v>
      </c>
      <c r="AQ66" s="0" t="n">
        <v>0</v>
      </c>
      <c r="AR66" s="0" t="n">
        <v>0</v>
      </c>
      <c r="AS66" s="0" t="n">
        <v>0</v>
      </c>
      <c r="AT66" s="0" t="n">
        <v>0</v>
      </c>
      <c r="AU66" s="3" t="n">
        <v>-0.0414</v>
      </c>
      <c r="AV66" s="0" t="n">
        <v>0</v>
      </c>
      <c r="AW66" s="0" t="n">
        <v>0</v>
      </c>
      <c r="AZ66" s="0" t="n">
        <v>0.239965232231513</v>
      </c>
      <c r="BA66" s="0" t="n">
        <v>0.219265232231513</v>
      </c>
      <c r="BC66" s="0" t="n">
        <v>0.242362727921854</v>
      </c>
      <c r="BD66" s="0" t="n">
        <v>0.221662727921854</v>
      </c>
      <c r="BE66" s="0" t="n">
        <v>0.12468523249277</v>
      </c>
      <c r="BF66" s="3" t="n">
        <v>0.08328523249277</v>
      </c>
      <c r="BG66" s="0" t="n">
        <v>0.0439829253436805</v>
      </c>
      <c r="BH66" s="0" t="n">
        <f aca="false">M66/BG66</f>
        <v>0.752053054849356</v>
      </c>
      <c r="BI66" s="0" t="n">
        <v>2.4535178378E-010</v>
      </c>
      <c r="BJ66" s="0" t="n">
        <v>0.51848914497743</v>
      </c>
      <c r="BK66" s="0" t="n">
        <v>0</v>
      </c>
      <c r="BL66" s="0" t="n">
        <v>0</v>
      </c>
      <c r="BM66" s="0" t="n">
        <v>0</v>
      </c>
      <c r="BN66" s="0" t="e">
        <f aca="false">#REF!/#REF!</f>
        <v>#REF!</v>
      </c>
      <c r="BO66" s="0" t="n">
        <v>0</v>
      </c>
    </row>
    <row r="67" customFormat="false" ht="12.8" hidden="false" customHeight="false" outlineLevel="0" collapsed="false">
      <c r="A67" s="0" t="s">
        <v>120</v>
      </c>
      <c r="B67" s="0" t="s">
        <v>111</v>
      </c>
      <c r="C67" s="0" t="s">
        <v>59</v>
      </c>
      <c r="D67" s="0" t="s">
        <v>52</v>
      </c>
      <c r="E67" s="0" t="n">
        <v>0.1141</v>
      </c>
      <c r="F67" s="0" t="n">
        <v>1.566</v>
      </c>
      <c r="G67" s="0" t="n">
        <v>201</v>
      </c>
      <c r="H67" s="0" t="n">
        <v>165</v>
      </c>
      <c r="I67" s="0" t="s">
        <v>53</v>
      </c>
      <c r="J67" s="0" t="n">
        <v>0</v>
      </c>
      <c r="K67" s="0" t="n">
        <v>0.0355019</v>
      </c>
      <c r="L67" s="0" t="n">
        <v>0.00779707431078005</v>
      </c>
      <c r="M67" s="1" t="n">
        <v>0.0338140680123847</v>
      </c>
      <c r="N67" s="0" t="n">
        <v>0.233800118474686</v>
      </c>
      <c r="O67" s="0" t="n">
        <v>0.196190057167911</v>
      </c>
      <c r="P67" s="0" t="n">
        <v>0.159429562993413</v>
      </c>
      <c r="Q67" s="0" t="n">
        <v>0.231624311997884</v>
      </c>
      <c r="R67" s="11" t="n">
        <v>0.0476152504287</v>
      </c>
      <c r="S67" s="11" t="n">
        <v>0.0398181761179199</v>
      </c>
      <c r="T67" s="0" t="n">
        <v>0.000138121771649</v>
      </c>
      <c r="U67" s="11" t="n">
        <v>0.000175256429009</v>
      </c>
      <c r="V67" s="11" t="n">
        <v>0</v>
      </c>
      <c r="Z67" s="1"/>
      <c r="AA67" s="1"/>
      <c r="AB67" s="11"/>
      <c r="AJ67" s="0" t="n">
        <v>0.242708155718717</v>
      </c>
      <c r="AK67" s="0" t="n">
        <v>0.000172914045841</v>
      </c>
      <c r="AL67" s="0" t="n">
        <f aca="false">AK67-0.00003713465736</f>
        <v>0.000135779388481</v>
      </c>
      <c r="AM67" s="0" t="n">
        <v>0.260248847781934</v>
      </c>
      <c r="AN67" s="0" t="n">
        <v>0.314431675468596</v>
      </c>
      <c r="AO67" s="0" t="n">
        <v>0.000138121771649</v>
      </c>
      <c r="AP67" s="0" t="n">
        <v>0.242708155718717</v>
      </c>
      <c r="AQ67" s="0" t="n">
        <v>0</v>
      </c>
      <c r="AR67" s="0" t="n">
        <v>0</v>
      </c>
      <c r="AS67" s="0" t="n">
        <v>0</v>
      </c>
      <c r="AT67" s="0" t="n">
        <v>0</v>
      </c>
      <c r="AU67" s="3" t="n">
        <v>0.048801128706361</v>
      </c>
      <c r="AV67" s="0" t="n">
        <v>0.384720129522312</v>
      </c>
      <c r="AW67" s="0" t="n">
        <v>0</v>
      </c>
      <c r="AZ67" s="0" t="n">
        <v>0.271226546972608</v>
      </c>
      <c r="BA67" s="0" t="n">
        <v>0.250526546972608</v>
      </c>
      <c r="BC67" s="0" t="n">
        <v>0.180129562993413</v>
      </c>
      <c r="BD67" s="0" t="n">
        <v>0.159429562993413</v>
      </c>
      <c r="BE67" s="0" t="n">
        <v>0.0830247648143664</v>
      </c>
      <c r="BF67" s="3" t="n">
        <v>0.0416247648143664</v>
      </c>
      <c r="BG67" s="0" t="n">
        <v>0.040083838763541</v>
      </c>
      <c r="BH67" s="0" t="n">
        <f aca="false">M67/BG67</f>
        <v>0.843583575212385</v>
      </c>
      <c r="BI67" s="0" t="n">
        <v>0.0345739815818912</v>
      </c>
      <c r="BJ67" s="0" t="n">
        <v>0.51024278878652</v>
      </c>
      <c r="BK67" s="0" t="n">
        <v>0</v>
      </c>
      <c r="BL67" s="0" t="n">
        <v>0</v>
      </c>
      <c r="BM67" s="0" t="n">
        <v>0</v>
      </c>
      <c r="BN67" s="0" t="e">
        <f aca="false">#REF!/#REF!</f>
        <v>#REF!</v>
      </c>
      <c r="BO67" s="0" t="n">
        <v>0</v>
      </c>
    </row>
    <row r="68" customFormat="false" ht="12.8" hidden="false" customHeight="false" outlineLevel="0" collapsed="false">
      <c r="A68" s="0" t="s">
        <v>121</v>
      </c>
      <c r="B68" s="0" t="s">
        <v>111</v>
      </c>
      <c r="C68" s="0" t="s">
        <v>59</v>
      </c>
      <c r="D68" s="0" t="s">
        <v>52</v>
      </c>
      <c r="E68" s="0" t="n">
        <v>0.1514</v>
      </c>
      <c r="F68" s="0" t="n">
        <v>1.665</v>
      </c>
      <c r="G68" s="0" t="n">
        <v>468</v>
      </c>
      <c r="H68" s="0" t="n">
        <v>414</v>
      </c>
      <c r="I68" s="0" t="s">
        <v>55</v>
      </c>
      <c r="J68" s="0" t="n">
        <v>0</v>
      </c>
      <c r="K68" s="0" t="n">
        <v>0.140992</v>
      </c>
      <c r="L68" s="0" t="n">
        <v>0.0181604735248773</v>
      </c>
      <c r="M68" s="1" t="n">
        <v>0.0306496622375823</v>
      </c>
      <c r="N68" s="0" t="n">
        <v>0.222106984762047</v>
      </c>
      <c r="O68" s="0" t="n">
        <v>0.228521716276702</v>
      </c>
      <c r="P68" s="0" t="n">
        <v>0.18912372496621</v>
      </c>
      <c r="Q68" s="0" t="n">
        <v>0.275119370538337</v>
      </c>
      <c r="R68" s="11" t="n">
        <v>0.114698986255</v>
      </c>
      <c r="S68" s="11" t="n">
        <v>0.0965385127301227</v>
      </c>
      <c r="T68" s="0" t="n">
        <v>0.0001177579450385</v>
      </c>
      <c r="U68" s="11" t="n">
        <v>0.0001548926023985</v>
      </c>
      <c r="V68" s="11" t="n">
        <v>0</v>
      </c>
      <c r="Z68" s="1"/>
      <c r="AA68" s="1"/>
      <c r="AB68" s="11"/>
      <c r="AJ68" s="0" t="n">
        <v>2.075040814704</v>
      </c>
      <c r="AK68" s="0" t="n">
        <v>0.0001955764746425</v>
      </c>
      <c r="AL68" s="0" t="n">
        <f aca="false">AK68-0.00003713465736</f>
        <v>0.0001584418172825</v>
      </c>
      <c r="AM68" s="0" t="n">
        <v>0.917619424448263</v>
      </c>
      <c r="AN68" s="0" t="n">
        <v>4.66759028718007E-006</v>
      </c>
      <c r="AO68" s="0" t="n">
        <v>0.0001177579450385</v>
      </c>
      <c r="AP68" s="0" t="n">
        <v>2.075040814704</v>
      </c>
      <c r="AQ68" s="0" t="n">
        <v>0</v>
      </c>
      <c r="AR68" s="0" t="n">
        <v>0</v>
      </c>
      <c r="AS68" s="0" t="n">
        <v>0</v>
      </c>
      <c r="AT68" s="0" t="n">
        <v>0</v>
      </c>
      <c r="AU68" s="3" t="n">
        <v>0.0537936669152253</v>
      </c>
      <c r="AV68" s="0" t="n">
        <v>1.52990022412534E-005</v>
      </c>
      <c r="AW68" s="0" t="n">
        <v>0</v>
      </c>
      <c r="AZ68" s="0" t="n">
        <v>0.22886627167435</v>
      </c>
      <c r="BA68" s="0" t="n">
        <v>0.20816627167435</v>
      </c>
      <c r="BC68" s="0" t="n">
        <v>0.20982372496621</v>
      </c>
      <c r="BD68" s="0" t="n">
        <v>0.18912372496621</v>
      </c>
      <c r="BE68" s="0" t="n">
        <v>0.110612264424387</v>
      </c>
      <c r="BF68" s="3" t="n">
        <v>0.069212264424387</v>
      </c>
      <c r="BG68" s="0" t="n">
        <v>0.0398359868345142</v>
      </c>
      <c r="BH68" s="0" t="n">
        <f aca="false">M68/BG68</f>
        <v>0.769396334146471</v>
      </c>
      <c r="BI68" s="0" t="n">
        <v>0.000106142097561399</v>
      </c>
      <c r="BJ68" s="0" t="n">
        <v>0.532750559373592</v>
      </c>
      <c r="BK68" s="0" t="n">
        <v>0</v>
      </c>
      <c r="BL68" s="0" t="n">
        <v>0</v>
      </c>
      <c r="BM68" s="0" t="n">
        <v>0</v>
      </c>
      <c r="BN68" s="0" t="e">
        <f aca="false">#REF!/#REF!</f>
        <v>#REF!</v>
      </c>
      <c r="BO68" s="0" t="n">
        <v>0</v>
      </c>
    </row>
    <row r="69" customFormat="false" ht="12.8" hidden="false" customHeight="false" outlineLevel="0" collapsed="false">
      <c r="A69" s="0" t="s">
        <v>122</v>
      </c>
      <c r="B69" s="0" t="s">
        <v>111</v>
      </c>
      <c r="C69" s="0" t="s">
        <v>51</v>
      </c>
      <c r="D69" s="0" t="s">
        <v>52</v>
      </c>
      <c r="E69" s="0" t="n">
        <v>0.5851</v>
      </c>
      <c r="F69" s="0" t="n">
        <v>4.145</v>
      </c>
      <c r="G69" s="0" t="n">
        <v>1000</v>
      </c>
      <c r="H69" s="0" t="n">
        <v>932</v>
      </c>
      <c r="I69" s="0" t="s">
        <v>55</v>
      </c>
      <c r="J69" s="0" t="n">
        <v>0.0562334508</v>
      </c>
      <c r="K69" s="0" t="n">
        <v>0.4806963</v>
      </c>
      <c r="L69" s="0" t="n">
        <v>0.0505824001106743</v>
      </c>
      <c r="M69" s="1" t="n">
        <v>0.0262272202688</v>
      </c>
      <c r="N69" s="0" t="n">
        <v>0.184316709027896</v>
      </c>
      <c r="O69" s="0" t="n">
        <v>0.304610475605545</v>
      </c>
      <c r="P69" s="0" t="n">
        <v>0.246059505790034</v>
      </c>
      <c r="Q69" s="0" t="n">
        <v>0.251531129610718</v>
      </c>
      <c r="R69" s="11" t="n">
        <v>0.337820655862</v>
      </c>
      <c r="S69" s="11" t="n">
        <v>0.287238255751326</v>
      </c>
      <c r="T69" s="0" t="n">
        <v>9.91942951473333E-005</v>
      </c>
      <c r="U69" s="11" t="n">
        <v>0.000147521725334</v>
      </c>
      <c r="V69" s="11" t="n">
        <v>0</v>
      </c>
      <c r="Z69" s="1"/>
      <c r="AA69" s="1"/>
      <c r="AB69" s="11"/>
      <c r="AJ69" s="0" t="n">
        <v>3.09331726260191</v>
      </c>
      <c r="AK69" s="0" t="n">
        <v>0.00027175551846</v>
      </c>
      <c r="AL69" s="0" t="n">
        <f aca="false">AK69-0.0000483274301866667</f>
        <v>0.000223428088273333</v>
      </c>
      <c r="AM69" s="0" t="n">
        <v>100</v>
      </c>
      <c r="AN69" s="0" t="n">
        <v>3.93425378873588E-054</v>
      </c>
      <c r="AO69" s="0" t="n">
        <v>9.91942951473333E-005</v>
      </c>
      <c r="AP69" s="0" t="n">
        <v>3.09331726260191</v>
      </c>
      <c r="AQ69" s="0" t="n">
        <v>0</v>
      </c>
      <c r="AR69" s="0" t="n">
        <v>0</v>
      </c>
      <c r="AS69" s="0" t="n">
        <v>0</v>
      </c>
      <c r="AT69" s="0" t="n">
        <v>0</v>
      </c>
      <c r="AU69" s="3" t="n">
        <v>0.088308205219244</v>
      </c>
      <c r="AV69" s="0" t="n">
        <v>1.28999888103293E-021</v>
      </c>
      <c r="AW69" s="0" t="n">
        <v>0.168481853880638</v>
      </c>
      <c r="AZ69" s="0" t="n">
        <v>0.14507079315651</v>
      </c>
      <c r="BA69" s="0" t="n">
        <v>0.12247079315651</v>
      </c>
      <c r="BC69" s="0" t="n">
        <v>0.268659505790034</v>
      </c>
      <c r="BD69" s="0" t="n">
        <v>0.246059505790034</v>
      </c>
      <c r="BE69" s="0" t="n">
        <v>0.167607827553784</v>
      </c>
      <c r="BF69" s="3" t="n">
        <v>0.122407827553784</v>
      </c>
      <c r="BG69" s="0" t="n">
        <v>0.0435146520312642</v>
      </c>
      <c r="BH69" s="0" t="n">
        <f aca="false">M69/BG69</f>
        <v>0.602721590188895</v>
      </c>
      <c r="BI69" s="0" t="n">
        <v>5.49289300855291E-039</v>
      </c>
      <c r="BJ69" s="0" t="n">
        <v>0.644865378450878</v>
      </c>
      <c r="BK69" s="0" t="n">
        <v>0.18419671761558</v>
      </c>
      <c r="BL69" s="0" t="n">
        <v>0.191081853880638</v>
      </c>
      <c r="BM69" s="0" t="n">
        <v>0.168481853880638</v>
      </c>
      <c r="BN69" s="0" t="e">
        <f aca="false">#REF!/#REF!</f>
        <v>#REF!</v>
      </c>
      <c r="BO69" s="0" t="e">
        <f aca="false">BN69-0.0226</f>
        <v>#REF!</v>
      </c>
    </row>
    <row r="70" customFormat="false" ht="12.8" hidden="false" customHeight="false" outlineLevel="0" collapsed="false">
      <c r="A70" s="0" t="s">
        <v>123</v>
      </c>
      <c r="B70" s="0" t="s">
        <v>111</v>
      </c>
      <c r="C70" s="0" t="s">
        <v>59</v>
      </c>
      <c r="D70" s="0" t="s">
        <v>52</v>
      </c>
      <c r="E70" s="0" t="n">
        <v>0.0846</v>
      </c>
      <c r="F70" s="0" t="n">
        <v>1.368</v>
      </c>
      <c r="G70" s="0" t="n">
        <v>103</v>
      </c>
      <c r="H70" s="0" t="n">
        <v>76</v>
      </c>
      <c r="I70" s="0" t="s">
        <v>53</v>
      </c>
      <c r="J70" s="0" t="n">
        <v>0</v>
      </c>
      <c r="K70" s="0" t="n">
        <v>0.0138708</v>
      </c>
      <c r="L70" s="0" t="n">
        <v>0.00399956112663707</v>
      </c>
      <c r="M70" s="1" t="n">
        <v>0.0408406498742807</v>
      </c>
      <c r="N70" s="0" t="n">
        <v>0.161583621309513</v>
      </c>
      <c r="O70" s="0" t="n">
        <v>0.170066017347296</v>
      </c>
      <c r="P70" s="0" t="n">
        <v>0.120599161258122</v>
      </c>
      <c r="Q70" s="0" t="n">
        <v>0.16531103191499</v>
      </c>
      <c r="R70" s="11" t="n">
        <v>0.0331484076625</v>
      </c>
      <c r="S70" s="11" t="n">
        <v>0.0291488465358629</v>
      </c>
      <c r="T70" s="0" t="n">
        <v>0.000147241112874</v>
      </c>
      <c r="U70" s="11" t="n">
        <v>0.000184375770234</v>
      </c>
      <c r="V70" s="11" t="n">
        <v>0.000210729287709</v>
      </c>
      <c r="Z70" s="1"/>
      <c r="AA70" s="1"/>
      <c r="AB70" s="11"/>
      <c r="AJ70" s="0" t="n">
        <v>0.439168220401077</v>
      </c>
      <c r="AK70" s="0" t="n">
        <v>0.000247863945069</v>
      </c>
      <c r="AL70" s="0" t="n">
        <f aca="false">AK70-0.00003713465736</f>
        <v>0.000210729287709</v>
      </c>
      <c r="AM70" s="0" t="n">
        <v>0.157533951609702</v>
      </c>
      <c r="AN70" s="0" t="n">
        <v>0.0111631812668698</v>
      </c>
      <c r="AO70" s="0" t="n">
        <v>0.000147241112874</v>
      </c>
      <c r="AP70" s="0" t="n">
        <v>0.439168220401077</v>
      </c>
      <c r="AQ70" s="0" t="n">
        <v>0.000247863945069</v>
      </c>
      <c r="AR70" s="0" t="n">
        <f aca="false">AQ70-0.00003713465736</f>
        <v>0.000210729287709</v>
      </c>
      <c r="AS70" s="0" t="n">
        <v>0.157533951609702</v>
      </c>
      <c r="AT70" s="0" t="n">
        <v>0.0223263625337396</v>
      </c>
      <c r="AU70" s="3" t="n">
        <v>0.0430262339475622</v>
      </c>
      <c r="AV70" s="0" t="n">
        <v>0.358314641827802</v>
      </c>
      <c r="AW70" s="0" t="n">
        <v>0</v>
      </c>
      <c r="AZ70" s="0" t="n">
        <v>0.23398045841355</v>
      </c>
      <c r="BA70" s="0" t="n">
        <v>0.21328045841355</v>
      </c>
      <c r="BC70" s="0" t="n">
        <v>0.141299161258122</v>
      </c>
      <c r="BD70" s="0" t="n">
        <v>0.120599161258122</v>
      </c>
      <c r="BE70" s="0" t="n">
        <v>0.0806297055221217</v>
      </c>
      <c r="BF70" s="3" t="n">
        <v>0.0392297055221217</v>
      </c>
      <c r="BG70" s="0" t="n">
        <v>0.0540530324872655</v>
      </c>
      <c r="BH70" s="0" t="n">
        <f aca="false">M70/BG70</f>
        <v>0.755566302110848</v>
      </c>
      <c r="BI70" s="0" t="n">
        <v>0.00970427968676921</v>
      </c>
      <c r="BJ70" s="0" t="n">
        <v>0.660052187964264</v>
      </c>
      <c r="BK70" s="0" t="n">
        <v>0</v>
      </c>
      <c r="BL70" s="0" t="n">
        <v>0</v>
      </c>
      <c r="BM70" s="0" t="n">
        <v>0</v>
      </c>
      <c r="BN70" s="0" t="e">
        <f aca="false">#REF!/#REF!</f>
        <v>#REF!</v>
      </c>
      <c r="BO70" s="0" t="n">
        <v>0</v>
      </c>
    </row>
    <row r="71" customFormat="false" ht="12.8" hidden="false" customHeight="false" outlineLevel="0" collapsed="false">
      <c r="A71" s="0" t="s">
        <v>124</v>
      </c>
      <c r="B71" s="0" t="s">
        <v>111</v>
      </c>
      <c r="C71" s="0" t="s">
        <v>51</v>
      </c>
      <c r="D71" s="0" t="s">
        <v>52</v>
      </c>
      <c r="E71" s="0" t="n">
        <v>0.5842</v>
      </c>
      <c r="F71" s="0" t="n">
        <v>5.2153</v>
      </c>
      <c r="G71" s="0" t="n">
        <v>901</v>
      </c>
      <c r="H71" s="0" t="n">
        <v>856</v>
      </c>
      <c r="I71" s="0" t="s">
        <v>55</v>
      </c>
      <c r="J71" s="0" t="n">
        <v>0.0500712208</v>
      </c>
      <c r="K71" s="0" t="n">
        <v>0.3383493</v>
      </c>
      <c r="L71" s="0" t="n">
        <v>0.045571475319084</v>
      </c>
      <c r="M71" s="1" t="n">
        <v>0.0335011484603787</v>
      </c>
      <c r="N71" s="0" t="n">
        <v>0.372230314514281</v>
      </c>
      <c r="O71" s="0" t="n">
        <v>0.41411460904655</v>
      </c>
      <c r="P71" s="0" t="n">
        <v>0.308678921455423</v>
      </c>
      <c r="Q71" s="0" t="n">
        <v>0.555556008334092</v>
      </c>
      <c r="R71" s="11" t="n">
        <v>0.424804994862</v>
      </c>
      <c r="S71" s="11" t="n">
        <v>0.379233519542916</v>
      </c>
      <c r="T71" s="0" t="n">
        <v>0.000130659673521333</v>
      </c>
      <c r="U71" s="11" t="n">
        <v>0.000178987103708</v>
      </c>
      <c r="V71" s="11" t="n">
        <v>0.000296586500975333</v>
      </c>
      <c r="Z71" s="1"/>
      <c r="AA71" s="1"/>
      <c r="AB71" s="11"/>
      <c r="AJ71" s="0" t="n">
        <v>2.89420771332963</v>
      </c>
      <c r="AK71" s="0" t="n">
        <v>0.000426438482964</v>
      </c>
      <c r="AL71" s="0" t="n">
        <f aca="false">AK71-0.0000483274301866667</f>
        <v>0.000378111052777333</v>
      </c>
      <c r="AM71" s="0" t="n">
        <v>0.509659057005261</v>
      </c>
      <c r="AN71" s="0" t="n">
        <v>6.18421146310887E-071</v>
      </c>
      <c r="AO71" s="0" t="n">
        <v>0.000125816090069333</v>
      </c>
      <c r="AP71" s="0" t="n">
        <v>2.43435528371049</v>
      </c>
      <c r="AQ71" s="0" t="n">
        <v>0.000344913931162</v>
      </c>
      <c r="AR71" s="0" t="n">
        <f aca="false">AQ71-0.0000483274301866667</f>
        <v>0.000296586500975333</v>
      </c>
      <c r="AS71" s="0" t="n">
        <v>0.665093201302444</v>
      </c>
      <c r="AT71" s="0" t="n">
        <v>5.45176641330806E-052</v>
      </c>
      <c r="AU71" s="3" t="n">
        <v>0.142392170481811</v>
      </c>
      <c r="AV71" s="0" t="n">
        <v>0.017628670505572</v>
      </c>
      <c r="AW71" s="0" t="n">
        <v>0.168133983937412</v>
      </c>
      <c r="AZ71" s="0" t="n">
        <v>0.310191438793469</v>
      </c>
      <c r="BA71" s="0" t="n">
        <v>0.287591438793469</v>
      </c>
      <c r="BC71" s="0" t="n">
        <v>0.331278921455423</v>
      </c>
      <c r="BD71" s="0" t="n">
        <v>0.308678921455423</v>
      </c>
      <c r="BE71" s="0" t="n">
        <v>0.202894285957812</v>
      </c>
      <c r="BF71" s="3" t="n">
        <v>0.157694285957812</v>
      </c>
      <c r="BG71" s="0" t="n">
        <v>0.0591047335064743</v>
      </c>
      <c r="BH71" s="0" t="n">
        <f aca="false">M71/BG71</f>
        <v>0.566809906294713</v>
      </c>
      <c r="BI71" s="0" t="n">
        <v>2.62140963368664E-053</v>
      </c>
      <c r="BJ71" s="0" t="n">
        <v>0.604795597226048</v>
      </c>
      <c r="BK71" s="0" t="n">
        <v>0.140889666795574</v>
      </c>
      <c r="BL71" s="0" t="n">
        <v>0.190733983937412</v>
      </c>
      <c r="BM71" s="0" t="n">
        <v>0.168133983937412</v>
      </c>
      <c r="BN71" s="0" t="e">
        <f aca="false">#REF!/#REF!</f>
        <v>#REF!</v>
      </c>
      <c r="BO71" s="0" t="e">
        <f aca="false">BN71-0.0226</f>
        <v>#REF!</v>
      </c>
    </row>
    <row r="72" customFormat="false" ht="12.8" hidden="false" customHeight="false" outlineLevel="0" collapsed="false">
      <c r="A72" s="0" t="s">
        <v>125</v>
      </c>
      <c r="B72" s="0" t="s">
        <v>111</v>
      </c>
      <c r="C72" s="0" t="s">
        <v>59</v>
      </c>
      <c r="D72" s="0" t="s">
        <v>52</v>
      </c>
      <c r="E72" s="0" t="n">
        <v>0.1246</v>
      </c>
      <c r="F72" s="0" t="n">
        <v>1.9373</v>
      </c>
      <c r="G72" s="0" t="n">
        <v>230</v>
      </c>
      <c r="H72" s="0" t="n">
        <v>201</v>
      </c>
      <c r="I72" s="0" t="s">
        <v>55</v>
      </c>
      <c r="J72" s="0" t="n">
        <v>0</v>
      </c>
      <c r="K72" s="0" t="n">
        <v>0.0680468</v>
      </c>
      <c r="L72" s="0" t="n">
        <v>0.00896941405733551</v>
      </c>
      <c r="M72" s="1" t="n">
        <v>0.0426430127433293</v>
      </c>
      <c r="N72" s="0" t="n">
        <v>0.19162441806892</v>
      </c>
      <c r="O72" s="0" t="n">
        <v>0.220131772706808</v>
      </c>
      <c r="P72" s="0" t="n">
        <v>0.174629469674996</v>
      </c>
      <c r="Q72" s="0" t="n">
        <v>0.14319839215434</v>
      </c>
      <c r="R72" s="11" t="n">
        <v>0.073550113856</v>
      </c>
      <c r="S72" s="11" t="n">
        <v>0.0645806997986645</v>
      </c>
      <c r="T72" s="0" t="n">
        <v>0.000148114420781</v>
      </c>
      <c r="U72" s="11" t="n">
        <v>0.000185249078141</v>
      </c>
      <c r="V72" s="11" t="n">
        <v>0.000169230842999</v>
      </c>
      <c r="Z72" s="1"/>
      <c r="AA72" s="1"/>
      <c r="AB72" s="11"/>
      <c r="AJ72" s="0" t="n">
        <v>1.17972875484778</v>
      </c>
      <c r="AK72" s="0" t="n">
        <v>0.000271322871699</v>
      </c>
      <c r="AL72" s="0" t="n">
        <f aca="false">AK72-0.00003713465736</f>
        <v>0.000234188214339</v>
      </c>
      <c r="AM72" s="0" t="n">
        <v>0.475303469848102</v>
      </c>
      <c r="AN72" s="0" t="n">
        <v>7.17284612520712E-006</v>
      </c>
      <c r="AO72" s="0" t="n">
        <v>0.0001430774809655</v>
      </c>
      <c r="AP72" s="0" t="n">
        <v>1.16818046690628</v>
      </c>
      <c r="AQ72" s="0" t="n">
        <v>0.000206365500359</v>
      </c>
      <c r="AR72" s="0" t="n">
        <f aca="false">AQ72-0.00003713465736</f>
        <v>0.000169230842999</v>
      </c>
      <c r="AS72" s="0" t="n">
        <v>0.962793804955539</v>
      </c>
      <c r="AT72" s="0" t="n">
        <v>0.0323567226166852</v>
      </c>
      <c r="AU72" s="3" t="n">
        <v>0.05881489120168</v>
      </c>
      <c r="AV72" s="0" t="n">
        <v>0.0910831910822087</v>
      </c>
      <c r="AW72" s="0" t="n">
        <v>0</v>
      </c>
      <c r="AZ72" s="0" t="n">
        <v>0.325581637496672</v>
      </c>
      <c r="BA72" s="0" t="n">
        <v>0.304881637496672</v>
      </c>
      <c r="BC72" s="0" t="n">
        <v>0.195329469674996</v>
      </c>
      <c r="BD72" s="0" t="n">
        <v>0.174629469674996</v>
      </c>
      <c r="BE72" s="0" t="n">
        <v>0.108337713618066</v>
      </c>
      <c r="BF72" s="3" t="n">
        <v>0.066937713618066</v>
      </c>
      <c r="BG72" s="0" t="n">
        <v>0.0533944158867327</v>
      </c>
      <c r="BH72" s="0" t="n">
        <f aca="false">M72/BG72</f>
        <v>0.79864180617294</v>
      </c>
      <c r="BI72" s="0" t="n">
        <v>3.35794592867104E-005</v>
      </c>
      <c r="BJ72" s="0" t="n">
        <v>0.588748572561776</v>
      </c>
      <c r="BK72" s="0" t="n">
        <v>0</v>
      </c>
      <c r="BL72" s="0" t="n">
        <v>0</v>
      </c>
      <c r="BM72" s="0" t="n">
        <v>0</v>
      </c>
      <c r="BN72" s="0" t="e">
        <f aca="false">#REF!/#REF!</f>
        <v>#REF!</v>
      </c>
      <c r="BO72" s="0" t="n">
        <v>0</v>
      </c>
    </row>
    <row r="73" customFormat="false" ht="12.8" hidden="false" customHeight="false" outlineLevel="0" collapsed="false">
      <c r="A73" s="0" t="s">
        <v>126</v>
      </c>
      <c r="B73" s="0" t="s">
        <v>111</v>
      </c>
      <c r="C73" s="0" t="s">
        <v>59</v>
      </c>
      <c r="D73" s="0" t="s">
        <v>52</v>
      </c>
      <c r="E73" s="0" t="n">
        <v>0.1228</v>
      </c>
      <c r="F73" s="0" t="n">
        <v>1.54</v>
      </c>
      <c r="G73" s="0" t="n">
        <v>309</v>
      </c>
      <c r="H73" s="0" t="n">
        <v>271</v>
      </c>
      <c r="I73" s="0" t="s">
        <v>53</v>
      </c>
      <c r="J73" s="0" t="n">
        <v>0</v>
      </c>
      <c r="K73" s="0" t="n">
        <v>0.0908692</v>
      </c>
      <c r="L73" s="0" t="n">
        <v>0.0119863524133712</v>
      </c>
      <c r="M73" s="1" t="n">
        <v>0.0322704393955994</v>
      </c>
      <c r="N73" s="0" t="n">
        <v>0.254519002779616</v>
      </c>
      <c r="O73" s="0" t="n">
        <v>0.215058894278142</v>
      </c>
      <c r="P73" s="0" t="n">
        <v>0.172606940739116</v>
      </c>
      <c r="Q73" s="0" t="n">
        <v>0.240341308296952</v>
      </c>
      <c r="R73" s="11" t="n">
        <v>0.0727351277031</v>
      </c>
      <c r="S73" s="11" t="n">
        <v>0.0607487752897288</v>
      </c>
      <c r="T73" s="0" t="n">
        <v>0.000118311386548</v>
      </c>
      <c r="U73" s="11" t="n">
        <v>0.000155446043908</v>
      </c>
      <c r="V73" s="11" t="n">
        <v>0.0001445563101525</v>
      </c>
      <c r="Z73" s="1"/>
      <c r="AA73" s="1"/>
      <c r="AB73" s="11"/>
      <c r="AJ73" s="0" t="n">
        <v>0.867488514944623</v>
      </c>
      <c r="AK73" s="0" t="n">
        <v>0.0001816909675125</v>
      </c>
      <c r="AL73" s="0" t="n">
        <f aca="false">AK73-0.00003713465736</f>
        <v>0.0001445563101525</v>
      </c>
      <c r="AM73" s="0" t="n">
        <v>0.88215333683055</v>
      </c>
      <c r="AN73" s="0" t="n">
        <v>0.000406299320842379</v>
      </c>
      <c r="AO73" s="0" t="n">
        <v>0.000118311386548</v>
      </c>
      <c r="AP73" s="0" t="n">
        <v>0.867488514944623</v>
      </c>
      <c r="AQ73" s="0" t="n">
        <v>0.0001816909675125</v>
      </c>
      <c r="AR73" s="0" t="n">
        <f aca="false">AQ73-0.00003713465736</f>
        <v>0.0001445563101525</v>
      </c>
      <c r="AS73" s="0" t="n">
        <v>0.88215333683055</v>
      </c>
      <c r="AT73" s="0" t="n">
        <v>0.000812598641684758</v>
      </c>
      <c r="AU73" s="3" t="n">
        <v>0.067425220332126</v>
      </c>
      <c r="AV73" s="0" t="n">
        <v>0.024051953875139</v>
      </c>
      <c r="AW73" s="0" t="n">
        <v>0</v>
      </c>
      <c r="AZ73" s="0" t="n">
        <v>0.197773960005654</v>
      </c>
      <c r="BA73" s="0" t="n">
        <v>0.177073960005654</v>
      </c>
      <c r="BC73" s="0" t="n">
        <v>0.193306940739116</v>
      </c>
      <c r="BD73" s="0" t="n">
        <v>0.172606940739116</v>
      </c>
      <c r="BE73" s="0" t="n">
        <v>0.119625347294192</v>
      </c>
      <c r="BF73" s="3" t="n">
        <v>0.078225347294192</v>
      </c>
      <c r="BG73" s="0" t="n">
        <v>0.0371920941386021</v>
      </c>
      <c r="BH73" s="0" t="n">
        <f aca="false">M73/BG73</f>
        <v>0.867669329813444</v>
      </c>
      <c r="BI73" s="0" t="n">
        <v>0.00878308149100111</v>
      </c>
      <c r="BJ73" s="0" t="n">
        <v>0.64580564776694</v>
      </c>
      <c r="BK73" s="0" t="n">
        <v>0</v>
      </c>
      <c r="BL73" s="0" t="n">
        <v>0</v>
      </c>
      <c r="BM73" s="0" t="n">
        <v>0</v>
      </c>
      <c r="BN73" s="0" t="e">
        <f aca="false">#REF!/#REF!</f>
        <v>#REF!</v>
      </c>
      <c r="BO73" s="0" t="n">
        <v>0</v>
      </c>
    </row>
    <row r="74" customFormat="false" ht="12.8" hidden="false" customHeight="false" outlineLevel="0" collapsed="false">
      <c r="A74" s="0" t="s">
        <v>127</v>
      </c>
      <c r="B74" s="0" t="s">
        <v>111</v>
      </c>
      <c r="C74" s="0" t="s">
        <v>59</v>
      </c>
      <c r="D74" s="0" t="s">
        <v>52</v>
      </c>
      <c r="E74" s="0" t="n">
        <v>0.1864</v>
      </c>
      <c r="F74" s="0" t="n">
        <v>2.0273</v>
      </c>
      <c r="G74" s="0" t="n">
        <v>604</v>
      </c>
      <c r="H74" s="0" t="n">
        <v>555</v>
      </c>
      <c r="I74" s="0" t="s">
        <v>55</v>
      </c>
      <c r="J74" s="0" t="n">
        <v>0</v>
      </c>
      <c r="K74" s="0" t="n">
        <v>0.06015</v>
      </c>
      <c r="L74" s="0" t="n">
        <v>0.022856261635303</v>
      </c>
      <c r="M74" s="1" t="n">
        <v>0.0285766730838681</v>
      </c>
      <c r="N74" s="0" t="n">
        <v>0.19824080651509</v>
      </c>
      <c r="O74" s="0" t="n">
        <v>0.267611214321</v>
      </c>
      <c r="P74" s="0" t="n">
        <v>0.217303799379442</v>
      </c>
      <c r="Q74" s="0" t="n">
        <v>0.253901202099193</v>
      </c>
      <c r="R74" s="11" t="n">
        <v>0.136752066128</v>
      </c>
      <c r="S74" s="11" t="n">
        <v>0.113895804492697</v>
      </c>
      <c r="T74" s="0" t="n">
        <v>0.00010473914355</v>
      </c>
      <c r="U74" s="11" t="n">
        <v>0.00014187380091</v>
      </c>
      <c r="V74" s="11" t="n">
        <v>0.000143389102807</v>
      </c>
      <c r="Z74" s="1"/>
      <c r="AA74" s="1"/>
      <c r="AB74" s="11"/>
      <c r="AJ74" s="0" t="n">
        <v>1.26256840435823</v>
      </c>
      <c r="AK74" s="0" t="n">
        <v>0.000175027681107</v>
      </c>
      <c r="AL74" s="0" t="n">
        <f aca="false">AK74-0.00003713465736</f>
        <v>0.000137893023747</v>
      </c>
      <c r="AM74" s="0" t="n">
        <v>0.674303375218991</v>
      </c>
      <c r="AN74" s="0" t="n">
        <v>5.43183324191E-009</v>
      </c>
      <c r="AO74" s="0" t="n">
        <v>0.000104740147549</v>
      </c>
      <c r="AP74" s="0" t="n">
        <v>1.25357154115381</v>
      </c>
      <c r="AQ74" s="0" t="n">
        <v>0.000180523760167</v>
      </c>
      <c r="AR74" s="0" t="n">
        <f aca="false">AQ74-0.00003713465736</f>
        <v>0.000143389102807</v>
      </c>
      <c r="AS74" s="0" t="n">
        <v>0.737164995558911</v>
      </c>
      <c r="AT74" s="0" t="n">
        <v>1.96798950897E-009</v>
      </c>
      <c r="AU74" s="3" t="n">
        <v>0.078153323236546</v>
      </c>
      <c r="AV74" s="0" t="n">
        <v>0.0899674915010135</v>
      </c>
      <c r="AW74" s="0" t="n">
        <v>0</v>
      </c>
      <c r="AZ74" s="0" t="n">
        <v>0.245609919492504</v>
      </c>
      <c r="BA74" s="0" t="n">
        <v>0.224909919492504</v>
      </c>
      <c r="BC74" s="0" t="n">
        <v>0.238003799379442</v>
      </c>
      <c r="BD74" s="0" t="n">
        <v>0.217303799379442</v>
      </c>
      <c r="BE74" s="0" t="n">
        <v>0.124156116637996</v>
      </c>
      <c r="BF74" s="3" t="n">
        <v>0.082756116637996</v>
      </c>
      <c r="BG74" s="0" t="n">
        <v>0.0357415093188586</v>
      </c>
      <c r="BH74" s="0" t="n">
        <f aca="false">M74/BG74</f>
        <v>0.799537390235223</v>
      </c>
      <c r="BI74" s="0" t="n">
        <v>4.37706424509681E-006</v>
      </c>
      <c r="BJ74" s="0" t="n">
        <v>0.515943182719605</v>
      </c>
      <c r="BK74" s="0" t="n">
        <v>0</v>
      </c>
      <c r="BL74" s="0" t="n">
        <v>0</v>
      </c>
      <c r="BM74" s="0" t="n">
        <v>0</v>
      </c>
      <c r="BN74" s="0" t="e">
        <f aca="false">#REF!/#REF!</f>
        <v>#REF!</v>
      </c>
      <c r="BO74" s="0" t="n">
        <v>0</v>
      </c>
    </row>
    <row r="75" customFormat="false" ht="12.8" hidden="false" customHeight="false" outlineLevel="0" collapsed="false">
      <c r="A75" s="0" t="s">
        <v>128</v>
      </c>
      <c r="B75" s="0" t="s">
        <v>111</v>
      </c>
      <c r="C75" s="0" t="s">
        <v>51</v>
      </c>
      <c r="D75" s="0" t="s">
        <v>52</v>
      </c>
      <c r="E75" s="0" t="n">
        <v>0.5184</v>
      </c>
      <c r="F75" s="0" t="n">
        <v>4.6563</v>
      </c>
      <c r="G75" s="0" t="n">
        <v>953</v>
      </c>
      <c r="H75" s="0" t="n">
        <v>889</v>
      </c>
      <c r="I75" s="0" t="s">
        <v>55</v>
      </c>
      <c r="J75" s="0" t="n">
        <v>0.04271217618</v>
      </c>
      <c r="K75" s="0" t="n">
        <v>0.466369</v>
      </c>
      <c r="L75" s="0" t="n">
        <v>0.0481873977311711</v>
      </c>
      <c r="M75" s="1" t="n">
        <v>0.0293135946692034</v>
      </c>
      <c r="N75" s="0" t="n">
        <v>0.149785761658334</v>
      </c>
      <c r="O75" s="0" t="n">
        <v>0.385732166926618</v>
      </c>
      <c r="P75" s="0" t="n">
        <v>0.310631589689185</v>
      </c>
      <c r="Q75" s="0" t="n">
        <v>0.135368431706396</v>
      </c>
      <c r="R75" s="11" t="n">
        <v>0.285816297562</v>
      </c>
      <c r="S75" s="11" t="n">
        <v>0.237628899830829</v>
      </c>
      <c r="T75" s="0" t="n">
        <v>0.000130089649799333</v>
      </c>
      <c r="U75" s="11" t="n">
        <v>0.000178417079986</v>
      </c>
      <c r="V75" s="11" t="n">
        <v>0.000182287836043833</v>
      </c>
      <c r="Z75" s="1"/>
      <c r="AA75" s="1"/>
      <c r="AB75" s="11"/>
      <c r="AJ75" s="0" t="n">
        <v>1.8464276183599</v>
      </c>
      <c r="AK75" s="0" t="n">
        <v>0.000257511396752</v>
      </c>
      <c r="AL75" s="0" t="n">
        <f aca="false">AK75-0.0000483274301866667</f>
        <v>0.000209183966565333</v>
      </c>
      <c r="AM75" s="0" t="n">
        <v>0.840090682056719</v>
      </c>
      <c r="AN75" s="0" t="n">
        <v>2.99717445416845E-029</v>
      </c>
      <c r="AO75" s="0" t="n">
        <v>0.000126515400137333</v>
      </c>
      <c r="AP75" s="0" t="n">
        <v>1.90786718385335</v>
      </c>
      <c r="AQ75" s="0" t="n">
        <v>0.0002306152662305</v>
      </c>
      <c r="AR75" s="0" t="n">
        <f aca="false">AQ75-0.0000483274301866667</f>
        <v>0.000182287836043833</v>
      </c>
      <c r="AS75" s="0" t="n">
        <v>0.761709273099441</v>
      </c>
      <c r="AT75" s="0" t="n">
        <v>3.14554461451708E-017</v>
      </c>
      <c r="AU75" s="3" t="n">
        <v>0.100682113732573</v>
      </c>
      <c r="AV75" s="0" t="n">
        <v>0.467749147699187</v>
      </c>
      <c r="AW75" s="0" t="n">
        <v>0.248373033900398</v>
      </c>
      <c r="AZ75" s="0" t="n">
        <v>0.201596170879534</v>
      </c>
      <c r="BA75" s="0" t="n">
        <v>0.178996170879534</v>
      </c>
      <c r="BC75" s="0" t="n">
        <v>0.333231589689185</v>
      </c>
      <c r="BD75" s="0" t="n">
        <v>0.310631589689185</v>
      </c>
      <c r="BE75" s="0" t="n">
        <v>0.146316467568814</v>
      </c>
      <c r="BF75" s="3" t="n">
        <v>0.101116467568814</v>
      </c>
      <c r="BG75" s="0" t="n">
        <v>0.0408726229209011</v>
      </c>
      <c r="BH75" s="0" t="n">
        <f aca="false">M75/BG75</f>
        <v>0.717193871456027</v>
      </c>
      <c r="BI75" s="0" t="n">
        <v>8.4619567291905E-028</v>
      </c>
      <c r="BJ75" s="0" t="n">
        <v>0.433002020482604</v>
      </c>
      <c r="BK75" s="0" t="n">
        <v>0.309530394660174</v>
      </c>
      <c r="BL75" s="0" t="n">
        <v>0.270973033900398</v>
      </c>
      <c r="BM75" s="0" t="n">
        <v>0.248373033900398</v>
      </c>
      <c r="BN75" s="0" t="e">
        <f aca="false">#REF!/#REF!</f>
        <v>#REF!</v>
      </c>
      <c r="BO75" s="0" t="e">
        <f aca="false">BN75-0.0226</f>
        <v>#REF!</v>
      </c>
    </row>
    <row r="76" customFormat="false" ht="12.8" hidden="false" customHeight="false" outlineLevel="0" collapsed="false">
      <c r="A76" s="0" t="s">
        <v>129</v>
      </c>
      <c r="B76" s="0" t="s">
        <v>111</v>
      </c>
      <c r="C76" s="0" t="s">
        <v>51</v>
      </c>
      <c r="D76" s="0" t="s">
        <v>52</v>
      </c>
      <c r="E76" s="0" t="n">
        <v>0.2654</v>
      </c>
      <c r="F76" s="0" t="n">
        <v>3.3065</v>
      </c>
      <c r="G76" s="0" t="n">
        <v>221</v>
      </c>
      <c r="H76" s="0" t="n">
        <v>181</v>
      </c>
      <c r="I76" s="0" t="s">
        <v>55</v>
      </c>
      <c r="J76" s="0" t="n">
        <v>0.042289054</v>
      </c>
      <c r="K76" s="0" t="n">
        <v>0.112788</v>
      </c>
      <c r="L76" s="0" t="n">
        <v>0.0111312526210612</v>
      </c>
      <c r="M76" s="1" t="n">
        <v>0.0333041283963973</v>
      </c>
      <c r="N76" s="0" t="n">
        <v>0.142885390926451</v>
      </c>
      <c r="O76" s="0" t="n">
        <v>0.207792359090673</v>
      </c>
      <c r="P76" s="0" t="n">
        <v>0.153013154476002</v>
      </c>
      <c r="Q76" s="0" t="n">
        <v>0.182890164905088</v>
      </c>
      <c r="R76" s="11" t="n">
        <v>0.078815811688</v>
      </c>
      <c r="S76" s="11" t="n">
        <v>0.0676845590669388</v>
      </c>
      <c r="T76" s="0" t="n">
        <v>0.000140928786181833</v>
      </c>
      <c r="U76" s="11" t="n">
        <v>0.0001892562163685</v>
      </c>
      <c r="V76" s="11" t="n">
        <v>0.000190702469729833</v>
      </c>
      <c r="Z76" s="1"/>
      <c r="AA76" s="1"/>
      <c r="AB76" s="11"/>
      <c r="AJ76" s="0" t="n">
        <v>1.39768202610549</v>
      </c>
      <c r="AK76" s="0" t="n">
        <v>0.000252140538583</v>
      </c>
      <c r="AL76" s="0" t="n">
        <f aca="false">AK76-0.0000483274301866667</f>
        <v>0.000203813108396333</v>
      </c>
      <c r="AM76" s="0" t="n">
        <v>1.01269868919625</v>
      </c>
      <c r="AN76" s="0" t="n">
        <v>3.90610849488997E-005</v>
      </c>
      <c r="AO76" s="0" t="n">
        <v>0.000140928786181833</v>
      </c>
      <c r="AP76" s="0" t="n">
        <v>1.39768202610549</v>
      </c>
      <c r="AQ76" s="0" t="n">
        <v>0.0002390298999165</v>
      </c>
      <c r="AR76" s="0" t="n">
        <f aca="false">AQ76-0.0000483274301866667</f>
        <v>0.000190702469729833</v>
      </c>
      <c r="AS76" s="0" t="n">
        <v>1.09920537311089</v>
      </c>
      <c r="AT76" s="0" t="n">
        <v>0.000508784493057723</v>
      </c>
      <c r="AU76" s="3" t="n">
        <v>0.064103796947336</v>
      </c>
      <c r="AV76" s="0" t="n">
        <v>0.0495305536471199</v>
      </c>
      <c r="AW76" s="0" t="n">
        <v>0.151646385229929</v>
      </c>
      <c r="AZ76" s="0" t="n">
        <v>0.157250063822116</v>
      </c>
      <c r="BA76" s="0" t="n">
        <v>0.134650063822116</v>
      </c>
      <c r="BC76" s="0" t="n">
        <v>0.175613154476002</v>
      </c>
      <c r="BD76" s="0" t="n">
        <v>0.153013154476002</v>
      </c>
      <c r="BE76" s="0" t="n">
        <v>0.0948643483718664</v>
      </c>
      <c r="BF76" s="3" t="n">
        <v>0.0496643483718664</v>
      </c>
      <c r="BG76" s="0" t="n">
        <v>0.0479956385935443</v>
      </c>
      <c r="BH76" s="0" t="n">
        <f aca="false">M76/BG76</f>
        <v>0.693899057754738</v>
      </c>
      <c r="BI76" s="0" t="n">
        <v>7.8342116965041E-005</v>
      </c>
      <c r="BJ76" s="0" t="n">
        <v>0.610665177384939</v>
      </c>
      <c r="BK76" s="0" t="n">
        <v>0.159367612675017</v>
      </c>
      <c r="BL76" s="0" t="n">
        <v>0.174246385229929</v>
      </c>
      <c r="BM76" s="0" t="n">
        <v>0.151646385229929</v>
      </c>
      <c r="BN76" s="0" t="e">
        <f aca="false">#REF!/#REF!</f>
        <v>#REF!</v>
      </c>
      <c r="BO76" s="0" t="e">
        <f aca="false">BN76-0.0226</f>
        <v>#REF!</v>
      </c>
    </row>
    <row r="77" customFormat="false" ht="12.8" hidden="false" customHeight="false" outlineLevel="0" collapsed="false">
      <c r="A77" s="0" t="s">
        <v>130</v>
      </c>
      <c r="B77" s="0" t="s">
        <v>111</v>
      </c>
      <c r="C77" s="0" t="s">
        <v>51</v>
      </c>
      <c r="D77" s="0" t="s">
        <v>52</v>
      </c>
      <c r="E77" s="0" t="n">
        <v>0.5549</v>
      </c>
      <c r="F77" s="0" t="n">
        <v>5.0138</v>
      </c>
      <c r="G77" s="0" t="n">
        <v>544</v>
      </c>
      <c r="H77" s="0" t="n">
        <v>501</v>
      </c>
      <c r="I77" s="0" t="s">
        <v>55</v>
      </c>
      <c r="J77" s="0" t="n">
        <v>0.0569626205</v>
      </c>
      <c r="K77" s="0" t="n">
        <v>0.1525462</v>
      </c>
      <c r="L77" s="0" t="n">
        <v>0.0275162267034541</v>
      </c>
      <c r="M77" s="1" t="n">
        <v>0.0299911646839425</v>
      </c>
      <c r="N77" s="0" t="n">
        <v>0.233519270570453</v>
      </c>
      <c r="O77" s="0" t="n">
        <v>0.314638168441404</v>
      </c>
      <c r="P77" s="0" t="n">
        <v>0.244858157154043</v>
      </c>
      <c r="Q77" s="0" t="n">
        <v>0.321322095582494</v>
      </c>
      <c r="R77" s="11" t="n">
        <v>0.200793389704</v>
      </c>
      <c r="S77" s="11" t="n">
        <v>0.173277163000546</v>
      </c>
      <c r="T77" s="0" t="n">
        <v>0.000134137608931833</v>
      </c>
      <c r="U77" s="11" t="n">
        <v>0.0001824650391185</v>
      </c>
      <c r="V77" s="11" t="n">
        <v>0.000224930429909333</v>
      </c>
      <c r="Z77" s="1"/>
      <c r="AA77" s="1"/>
      <c r="AB77" s="11"/>
      <c r="AJ77" s="0" t="n">
        <v>2.213411260855</v>
      </c>
      <c r="AK77" s="0" t="n">
        <v>0.000286286565825</v>
      </c>
      <c r="AL77" s="0" t="n">
        <f aca="false">AK77-0.0000483274301866667</f>
        <v>0.000237959135638333</v>
      </c>
      <c r="AM77" s="0" t="n">
        <v>0.923339398352403</v>
      </c>
      <c r="AN77" s="0" t="n">
        <v>8.64749883771576E-023</v>
      </c>
      <c r="AO77" s="0" t="n">
        <v>0.000133615643567333</v>
      </c>
      <c r="AP77" s="0" t="n">
        <v>2.27458912230738</v>
      </c>
      <c r="AQ77" s="0" t="n">
        <v>0.000273257860096</v>
      </c>
      <c r="AR77" s="0" t="n">
        <f aca="false">AQ77-0.0000483274301866667</f>
        <v>0.000224930429909333</v>
      </c>
      <c r="AS77" s="0" t="n">
        <v>0.983424748005111</v>
      </c>
      <c r="AT77" s="0" t="n">
        <v>1.43588971079122E-021</v>
      </c>
      <c r="AU77" s="3" t="n">
        <v>0.086691565713215</v>
      </c>
      <c r="AV77" s="0" t="n">
        <v>0.256383017892707</v>
      </c>
      <c r="AW77" s="0" t="n">
        <v>0.71241987196099</v>
      </c>
      <c r="AZ77" s="0" t="n">
        <v>0.209771680338941</v>
      </c>
      <c r="BA77" s="0" t="n">
        <v>0.187171680338941</v>
      </c>
      <c r="BC77" s="0" t="n">
        <v>0.267458157154043</v>
      </c>
      <c r="BD77" s="0" t="n">
        <v>0.244858157154043</v>
      </c>
      <c r="BE77" s="0" t="n">
        <v>0.127562524116291</v>
      </c>
      <c r="BF77" s="3" t="n">
        <v>0.082362524116291</v>
      </c>
      <c r="BG77" s="0" t="n">
        <v>0.0460668125369222</v>
      </c>
      <c r="BH77" s="0" t="n">
        <f aca="false">M77/BG77</f>
        <v>0.651036245668285</v>
      </c>
      <c r="BI77" s="0" t="n">
        <v>3.06972011175832E-024</v>
      </c>
      <c r="BJ77" s="0" t="n">
        <v>0.49792165032727</v>
      </c>
      <c r="BK77" s="0" t="n">
        <v>0.665921165269796</v>
      </c>
      <c r="BL77" s="0" t="n">
        <v>0.73501987196099</v>
      </c>
      <c r="BM77" s="0" t="n">
        <v>0.71241987196099</v>
      </c>
      <c r="BN77" s="0" t="e">
        <f aca="false">#REF!/#REF!</f>
        <v>#REF!</v>
      </c>
      <c r="BO77" s="0" t="e">
        <f aca="false">BN77-0.0226</f>
        <v>#REF!</v>
      </c>
    </row>
    <row r="78" customFormat="false" ht="12.8" hidden="false" customHeight="false" outlineLevel="0" collapsed="false">
      <c r="A78" s="0" t="s">
        <v>131</v>
      </c>
      <c r="B78" s="0" t="s">
        <v>111</v>
      </c>
      <c r="C78" s="0" t="s">
        <v>51</v>
      </c>
      <c r="D78" s="0" t="s">
        <v>52</v>
      </c>
      <c r="E78" s="0" t="n">
        <v>0.0829</v>
      </c>
      <c r="F78" s="0" t="n">
        <v>1.2085</v>
      </c>
      <c r="G78" s="0" t="n">
        <v>88</v>
      </c>
      <c r="H78" s="0" t="n">
        <v>60</v>
      </c>
      <c r="I78" s="0" t="s">
        <v>53</v>
      </c>
      <c r="J78" s="0" t="n">
        <v>0.0266466141</v>
      </c>
      <c r="K78" s="0" t="n">
        <v>0.038761</v>
      </c>
      <c r="L78" s="0" t="n">
        <v>0.00445214114406555</v>
      </c>
      <c r="M78" s="1" t="n">
        <v>0.0567084947448817</v>
      </c>
      <c r="N78" s="0" t="n">
        <v>0.11779235423459</v>
      </c>
      <c r="O78" s="0" t="n">
        <v>0.187016645072861</v>
      </c>
      <c r="P78" s="0" t="n">
        <v>0.135340084446243</v>
      </c>
      <c r="Q78" s="0" t="n">
        <v>0.11193286157867</v>
      </c>
      <c r="R78" s="11" t="n">
        <v>0.0302951163966</v>
      </c>
      <c r="S78" s="11" t="n">
        <v>0.0258429752525344</v>
      </c>
      <c r="T78" s="0" t="n">
        <v>6.01341551853333E-005</v>
      </c>
      <c r="U78" s="11" t="n">
        <v>0.000108461585372</v>
      </c>
      <c r="V78" s="11" t="n">
        <v>0</v>
      </c>
      <c r="Z78" s="1"/>
      <c r="AA78" s="1"/>
      <c r="AB78" s="11"/>
      <c r="AJ78" s="0" t="n">
        <v>0.997329867728952</v>
      </c>
      <c r="AK78" s="0" t="n">
        <v>0</v>
      </c>
      <c r="AL78" s="0" t="n">
        <f aca="false">AK78-0.0000483274301866667</f>
        <v>-4.83274301866667E-005</v>
      </c>
      <c r="AM78" s="0" t="n">
        <v>100</v>
      </c>
      <c r="AN78" s="0" t="n">
        <v>0</v>
      </c>
      <c r="AO78" s="0" t="n">
        <v>6.01341551853333E-005</v>
      </c>
      <c r="AP78" s="0" t="n">
        <v>0.997329867728952</v>
      </c>
      <c r="AQ78" s="0" t="n">
        <v>0</v>
      </c>
      <c r="AR78" s="0" t="n">
        <v>0</v>
      </c>
      <c r="AS78" s="0" t="n">
        <v>0</v>
      </c>
      <c r="AT78" s="0" t="n">
        <v>0</v>
      </c>
      <c r="AU78" s="3" t="n">
        <v>0.0264835152073247</v>
      </c>
      <c r="AV78" s="0" t="n">
        <v>0.277437170991227</v>
      </c>
      <c r="AW78" s="0" t="n">
        <v>0.0469251077367575</v>
      </c>
      <c r="AZ78" s="0" t="n">
        <v>0.183644036575612</v>
      </c>
      <c r="BA78" s="0" t="n">
        <v>0.161044036575612</v>
      </c>
      <c r="BC78" s="0" t="n">
        <v>0.157940084446243</v>
      </c>
      <c r="BD78" s="0" t="n">
        <v>0.135340084446243</v>
      </c>
      <c r="BE78" s="0" t="n">
        <v>0.0689475325193747</v>
      </c>
      <c r="BF78" s="3" t="n">
        <v>0.0237475325193747</v>
      </c>
      <c r="BG78" s="0" t="n">
        <v>0.0612587695128333</v>
      </c>
      <c r="BH78" s="0" t="n">
        <f aca="false">M78/BG78</f>
        <v>0.92572043473713</v>
      </c>
      <c r="BI78" s="0" t="n">
        <v>0.321661294621812</v>
      </c>
      <c r="BJ78" s="0" t="n">
        <v>0.543633013978508</v>
      </c>
      <c r="BK78" s="0" t="n">
        <v>0.0339315656202166</v>
      </c>
      <c r="BL78" s="0" t="n">
        <v>0.0695251077367575</v>
      </c>
      <c r="BM78" s="0" t="n">
        <v>0.0469251077367575</v>
      </c>
      <c r="BN78" s="0" t="e">
        <f aca="false">#REF!/#REF!</f>
        <v>#REF!</v>
      </c>
      <c r="BO78" s="0" t="e">
        <f aca="false">BN78-0.0226</f>
        <v>#REF!</v>
      </c>
    </row>
    <row r="79" customFormat="false" ht="12.8" hidden="false" customHeight="false" outlineLevel="0" collapsed="false">
      <c r="A79" s="0" t="s">
        <v>132</v>
      </c>
      <c r="B79" s="0" t="s">
        <v>111</v>
      </c>
      <c r="C79" s="0" t="s">
        <v>51</v>
      </c>
      <c r="D79" s="0" t="s">
        <v>52</v>
      </c>
      <c r="E79" s="0" t="n">
        <v>0.6078</v>
      </c>
      <c r="F79" s="0" t="n">
        <v>4.881</v>
      </c>
      <c r="G79" s="0" t="n">
        <v>1284</v>
      </c>
      <c r="H79" s="0" t="n">
        <v>1218</v>
      </c>
      <c r="I79" s="0" t="s">
        <v>55</v>
      </c>
      <c r="J79" s="0" t="n">
        <v>0.0743392185</v>
      </c>
      <c r="K79" s="0" t="n">
        <v>0.4189624</v>
      </c>
      <c r="L79" s="0" t="n">
        <v>0.0647907316584119</v>
      </c>
      <c r="M79" s="1" t="n">
        <v>0.0280257990477547</v>
      </c>
      <c r="N79" s="0" t="n">
        <v>0.235348119923131</v>
      </c>
      <c r="O79" s="0" t="n">
        <v>0.351089075712512</v>
      </c>
      <c r="P79" s="0" t="n">
        <v>0.294013050085482</v>
      </c>
      <c r="Q79" s="0" t="n">
        <v>0.249302819135173</v>
      </c>
      <c r="R79" s="11" t="n">
        <v>0.380253644268</v>
      </c>
      <c r="S79" s="11" t="n">
        <v>0.315462912609588</v>
      </c>
      <c r="T79" s="0" t="n">
        <v>0.000121352722182833</v>
      </c>
      <c r="U79" s="11" t="n">
        <v>0.0001696801523695</v>
      </c>
      <c r="V79" s="11" t="n">
        <v>0.000185331778379333</v>
      </c>
      <c r="Z79" s="1"/>
      <c r="AA79" s="1"/>
      <c r="AB79" s="11"/>
      <c r="AJ79" s="0" t="n">
        <v>3.65894064323602</v>
      </c>
      <c r="AK79" s="0" t="n">
        <v>0.0002500429428615</v>
      </c>
      <c r="AL79" s="0" t="n">
        <f aca="false">AK79-0.0000483274301866667</f>
        <v>0.000201715512674833</v>
      </c>
      <c r="AM79" s="0" t="n">
        <v>1.06537798249095</v>
      </c>
      <c r="AN79" s="0" t="n">
        <v>6.41987266658079E-041</v>
      </c>
      <c r="AO79" s="0" t="n">
        <v>0.000120708241735833</v>
      </c>
      <c r="AP79" s="0" t="n">
        <v>2.80353985114046</v>
      </c>
      <c r="AQ79" s="0" t="n">
        <v>0.000233659208566</v>
      </c>
      <c r="AR79" s="0" t="n">
        <f aca="false">AQ79-0.0000483274301866667</f>
        <v>0.000185331778379333</v>
      </c>
      <c r="AS79" s="0" t="n">
        <v>1.1331576913146</v>
      </c>
      <c r="AT79" s="0" t="n">
        <v>1.02694048173499E-030</v>
      </c>
      <c r="AU79" s="3" t="n">
        <v>0.103673291384129</v>
      </c>
      <c r="AV79" s="0" t="n">
        <v>0.00126623599904778</v>
      </c>
      <c r="AW79" s="0" t="n">
        <v>0.218087712866696</v>
      </c>
      <c r="AZ79" s="0" t="n">
        <v>0.268683787033209</v>
      </c>
      <c r="BA79" s="0" t="n">
        <v>0.246083787033209</v>
      </c>
      <c r="BC79" s="0" t="n">
        <v>0.316613050085482</v>
      </c>
      <c r="BD79" s="0" t="n">
        <v>0.294013050085482</v>
      </c>
      <c r="BE79" s="0" t="n">
        <v>0.158703896270667</v>
      </c>
      <c r="BF79" s="3" t="n">
        <v>0.113503896270667</v>
      </c>
      <c r="BG79" s="0" t="n">
        <v>0.0393915430579078</v>
      </c>
      <c r="BH79" s="0" t="n">
        <f aca="false">M79/BG79</f>
        <v>0.711467408284951</v>
      </c>
      <c r="BI79" s="0" t="n">
        <v>9.50735797081736E-034</v>
      </c>
      <c r="BJ79" s="0" t="n">
        <v>0.50732162041446</v>
      </c>
      <c r="BK79" s="0" t="n">
        <v>0.230925216682509</v>
      </c>
      <c r="BL79" s="0" t="n">
        <v>0.240687712866696</v>
      </c>
      <c r="BM79" s="0" t="n">
        <v>0.218087712866696</v>
      </c>
      <c r="BN79" s="0" t="e">
        <f aca="false">#REF!/#REF!</f>
        <v>#REF!</v>
      </c>
      <c r="BO79" s="0" t="e">
        <f aca="false">BN79-0.0226</f>
        <v>#REF!</v>
      </c>
    </row>
    <row r="80" customFormat="false" ht="12.8" hidden="false" customHeight="false" outlineLevel="0" collapsed="false">
      <c r="A80" s="0" t="s">
        <v>133</v>
      </c>
      <c r="B80" s="0" t="s">
        <v>111</v>
      </c>
      <c r="C80" s="0" t="s">
        <v>59</v>
      </c>
      <c r="D80" s="0" t="s">
        <v>52</v>
      </c>
      <c r="E80" s="0" t="n">
        <v>0.3095</v>
      </c>
      <c r="F80" s="0" t="n">
        <v>2.6245</v>
      </c>
      <c r="G80" s="0" t="n">
        <v>518</v>
      </c>
      <c r="H80" s="0" t="n">
        <v>467</v>
      </c>
      <c r="I80" s="0" t="s">
        <v>55</v>
      </c>
      <c r="J80" s="0" t="n">
        <v>0</v>
      </c>
      <c r="K80" s="0" t="n">
        <v>0.1611292</v>
      </c>
      <c r="L80" s="0" t="n">
        <v>0.0201011713450331</v>
      </c>
      <c r="M80" s="1" t="n">
        <v>0.0419154013662107</v>
      </c>
      <c r="N80" s="0" t="n">
        <v>0.256870645426399</v>
      </c>
      <c r="O80" s="0" t="n">
        <v>0.274676895669181</v>
      </c>
      <c r="P80" s="0" t="n">
        <v>0.230509430800521</v>
      </c>
      <c r="Q80" s="0" t="n">
        <v>0.343168809867144</v>
      </c>
      <c r="R80" s="11" t="n">
        <v>0.20018606229</v>
      </c>
      <c r="S80" s="11" t="n">
        <v>0.180084890944967</v>
      </c>
      <c r="T80" s="0" t="n">
        <v>0.000189077971236</v>
      </c>
      <c r="U80" s="11" t="n">
        <v>0.000226212628596</v>
      </c>
      <c r="V80" s="11" t="n">
        <v>0.0002721827711475</v>
      </c>
      <c r="Z80" s="1"/>
      <c r="AA80" s="1"/>
      <c r="AB80" s="11"/>
      <c r="AJ80" s="0" t="n">
        <v>2.36158880447759</v>
      </c>
      <c r="AK80" s="0" t="n">
        <v>0.000309617436794</v>
      </c>
      <c r="AL80" s="0" t="n">
        <f aca="false">AK80-0.00003713465736</f>
        <v>0.000272482779434</v>
      </c>
      <c r="AM80" s="0" t="n">
        <v>0.934600315819152</v>
      </c>
      <c r="AN80" s="0" t="n">
        <v>4.2294897555E-010</v>
      </c>
      <c r="AO80" s="0" t="n">
        <v>0.000189077971236</v>
      </c>
      <c r="AP80" s="0" t="n">
        <v>2.36158880447759</v>
      </c>
      <c r="AQ80" s="0" t="n">
        <v>0.0003093174285075</v>
      </c>
      <c r="AR80" s="0" t="n">
        <f aca="false">AQ80-0.00003713465736</f>
        <v>0.0002721827711475</v>
      </c>
      <c r="AS80" s="0" t="n">
        <v>0.940911580114986</v>
      </c>
      <c r="AT80" s="0" t="n">
        <v>8.0123725164E-010</v>
      </c>
      <c r="AU80" s="3" t="n">
        <v>0.077877953865187</v>
      </c>
      <c r="AV80" s="0" t="n">
        <v>0.000183744503903543</v>
      </c>
      <c r="AW80" s="0" t="n">
        <v>0</v>
      </c>
      <c r="AZ80" s="0" t="n">
        <v>0.198852178489976</v>
      </c>
      <c r="BA80" s="0" t="n">
        <v>0.178152178489976</v>
      </c>
      <c r="BC80" s="0" t="n">
        <v>0.251209430800521</v>
      </c>
      <c r="BD80" s="0" t="n">
        <v>0.230509430800521</v>
      </c>
      <c r="BE80" s="0" t="n">
        <v>0.131985690859799</v>
      </c>
      <c r="BF80" s="3" t="n">
        <v>0.090585690859799</v>
      </c>
      <c r="BG80" s="0" t="n">
        <v>0.0524760921269931</v>
      </c>
      <c r="BH80" s="0" t="n">
        <f aca="false">M80/BG80</f>
        <v>0.798752339727864</v>
      </c>
      <c r="BI80" s="0" t="n">
        <v>2.44055572002E-009</v>
      </c>
      <c r="BJ80" s="0" t="n">
        <v>0.520769617893105</v>
      </c>
      <c r="BK80" s="0" t="n">
        <v>0</v>
      </c>
      <c r="BL80" s="0" t="n">
        <v>0</v>
      </c>
      <c r="BM80" s="0" t="n">
        <v>0</v>
      </c>
      <c r="BN80" s="0" t="e">
        <f aca="false">#REF!/#REF!</f>
        <v>#REF!</v>
      </c>
      <c r="BO80" s="0" t="n">
        <v>0</v>
      </c>
    </row>
    <row r="81" customFormat="false" ht="12.8" hidden="false" customHeight="false" outlineLevel="0" collapsed="false">
      <c r="A81" s="0" t="s">
        <v>134</v>
      </c>
      <c r="B81" s="0" t="s">
        <v>111</v>
      </c>
      <c r="C81" s="0" t="s">
        <v>59</v>
      </c>
      <c r="D81" s="0" t="s">
        <v>52</v>
      </c>
      <c r="E81" s="0" t="n">
        <v>0.3361</v>
      </c>
      <c r="F81" s="0" t="n">
        <v>3.8673</v>
      </c>
      <c r="G81" s="0" t="n">
        <v>488</v>
      </c>
      <c r="H81" s="0" t="n">
        <v>452</v>
      </c>
      <c r="I81" s="0" t="s">
        <v>53</v>
      </c>
      <c r="J81" s="0" t="n">
        <v>0</v>
      </c>
      <c r="K81" s="0" t="n">
        <v>0.175484</v>
      </c>
      <c r="L81" s="0" t="n">
        <v>0.0187815470939354</v>
      </c>
      <c r="M81" s="1" t="n">
        <v>0.0422396654151294</v>
      </c>
      <c r="N81" s="0" t="n">
        <v>0.198788412630122</v>
      </c>
      <c r="O81" s="0" t="n">
        <v>0.525786896930414</v>
      </c>
      <c r="P81" s="0" t="n">
        <v>0.452350087532102</v>
      </c>
      <c r="Q81" s="0" t="n">
        <v>0.27086021454964</v>
      </c>
      <c r="R81" s="11" t="n">
        <v>0.256658559114</v>
      </c>
      <c r="S81" s="11" t="n">
        <v>0.237877012020065</v>
      </c>
      <c r="T81" s="0" t="n">
        <v>0.0001622678686595</v>
      </c>
      <c r="U81" s="11" t="n">
        <v>0.0001994025260195</v>
      </c>
      <c r="V81" s="11" t="n">
        <v>0.00037140646514</v>
      </c>
      <c r="Z81" s="1"/>
      <c r="AA81" s="1"/>
      <c r="AB81" s="11"/>
      <c r="AJ81" s="0" t="n">
        <v>3.52464111466846</v>
      </c>
      <c r="AK81" s="0" t="n">
        <v>0.000513417036893</v>
      </c>
      <c r="AL81" s="0" t="n">
        <f aca="false">AK81-0.00003713465736</f>
        <v>0.000476282379533</v>
      </c>
      <c r="AM81" s="0" t="n">
        <v>0.269901216155714</v>
      </c>
      <c r="AN81" s="0" t="n">
        <v>2.25377763640754E-032</v>
      </c>
      <c r="AO81" s="0" t="n">
        <v>0.0001601131998535</v>
      </c>
      <c r="AP81" s="0" t="n">
        <v>2.96473349221907</v>
      </c>
      <c r="AQ81" s="0" t="n">
        <v>0.0004085411225</v>
      </c>
      <c r="AR81" s="0" t="n">
        <f aca="false">AQ81-0.00003713465736</f>
        <v>0.00037140646514</v>
      </c>
      <c r="AS81" s="0" t="n">
        <v>0.626462943464388</v>
      </c>
      <c r="AT81" s="0" t="n">
        <v>2.78359303089906E-024</v>
      </c>
      <c r="AU81" s="3" t="n">
        <v>0.131246047738809</v>
      </c>
      <c r="AV81" s="0" t="n">
        <v>1.70065654668145E-005</v>
      </c>
      <c r="AW81" s="0" t="n">
        <v>0</v>
      </c>
      <c r="AZ81" s="0" t="n">
        <v>0.237394645390223</v>
      </c>
      <c r="BA81" s="0" t="n">
        <v>0.216694645390223</v>
      </c>
      <c r="BC81" s="0" t="n">
        <v>0.473050087532102</v>
      </c>
      <c r="BD81" s="0" t="n">
        <v>0.452350087532102</v>
      </c>
      <c r="BE81" s="0" t="n">
        <v>0.147484182264054</v>
      </c>
      <c r="BF81" s="3" t="n">
        <v>0.106084182264054</v>
      </c>
      <c r="BG81" s="0" t="n">
        <v>0.0707011713154923</v>
      </c>
      <c r="BH81" s="0" t="n">
        <f aca="false">M81/BG81</f>
        <v>0.597439400637959</v>
      </c>
      <c r="BI81" s="0" t="n">
        <v>3.99636964318664E-029</v>
      </c>
      <c r="BJ81" s="0" t="n">
        <v>0.350821837669939</v>
      </c>
      <c r="BK81" s="0" t="n">
        <v>0</v>
      </c>
      <c r="BL81" s="0" t="n">
        <v>0</v>
      </c>
      <c r="BM81" s="0" t="n">
        <v>0</v>
      </c>
      <c r="BN81" s="0" t="e">
        <f aca="false">#REF!/#REF!</f>
        <v>#REF!</v>
      </c>
      <c r="BO81" s="0" t="n">
        <v>0</v>
      </c>
    </row>
    <row r="82" customFormat="false" ht="12.8" hidden="false" customHeight="false" outlineLevel="0" collapsed="false">
      <c r="A82" s="16" t="s">
        <v>135</v>
      </c>
      <c r="B82" s="0" t="s">
        <v>111</v>
      </c>
      <c r="C82" s="0" t="s">
        <v>51</v>
      </c>
      <c r="D82" s="0" t="s">
        <v>52</v>
      </c>
      <c r="E82" s="0" t="n">
        <v>0.4374</v>
      </c>
      <c r="F82" s="0" t="n">
        <v>3.5013</v>
      </c>
      <c r="G82" s="0" t="n">
        <v>936</v>
      </c>
      <c r="H82" s="0" t="n">
        <v>887</v>
      </c>
      <c r="I82" s="16" t="s">
        <v>53</v>
      </c>
      <c r="J82" s="0" t="n">
        <v>0.0424311161</v>
      </c>
      <c r="K82" s="0" t="n">
        <v>0.253961</v>
      </c>
      <c r="L82" s="0" t="n">
        <v>0.0473425811608864</v>
      </c>
      <c r="M82" s="1" t="n">
        <v>0.0295900851862628</v>
      </c>
      <c r="N82" s="0" t="n">
        <v>0.313405271287335</v>
      </c>
      <c r="O82" s="0" t="n">
        <v>0.30912598706281</v>
      </c>
      <c r="P82" s="0" t="n">
        <v>0.259455307601985</v>
      </c>
      <c r="Q82" s="0" t="n">
        <v>0.325617071051755</v>
      </c>
      <c r="R82" s="11" t="n">
        <v>0.29451883838</v>
      </c>
      <c r="S82" s="11" t="n">
        <v>0.247176257219114</v>
      </c>
      <c r="T82" s="0" t="n">
        <v>0.000141072753273833</v>
      </c>
      <c r="U82" s="11" t="n">
        <v>0.0001894001834605</v>
      </c>
      <c r="V82" s="11" t="n">
        <v>0.000199438005099833</v>
      </c>
      <c r="Z82" s="1"/>
      <c r="AA82" s="1"/>
      <c r="AB82" s="11"/>
      <c r="AJ82" s="0" t="n">
        <v>4.3081622357817</v>
      </c>
      <c r="AK82" s="0" t="n">
        <v>0.0002502600510545</v>
      </c>
      <c r="AL82" s="0" t="n">
        <f aca="false">AK82-0.0000483274301866667</f>
        <v>0.000201932620867833</v>
      </c>
      <c r="AM82" s="0" t="n">
        <v>0.784964356465973</v>
      </c>
      <c r="AN82" s="0" t="n">
        <v>2.58871098527944E-026</v>
      </c>
      <c r="AO82" s="0" t="n">
        <v>0.000140367922045333</v>
      </c>
      <c r="AP82" s="0" t="n">
        <v>4.82732841315153</v>
      </c>
      <c r="AQ82" s="0" t="n">
        <v>0.0002477654352865</v>
      </c>
      <c r="AR82" s="0" t="n">
        <f aca="false">AQ82-0.0000483274301866667</f>
        <v>0.000199438005099833</v>
      </c>
      <c r="AS82" s="0" t="n">
        <v>0.82514850129263</v>
      </c>
      <c r="AT82" s="0" t="n">
        <v>2.5223617202568E-023</v>
      </c>
      <c r="AU82" s="3" t="n">
        <v>0.103481421988263</v>
      </c>
      <c r="AV82" s="0" t="n">
        <v>3.84260867032742E-005</v>
      </c>
      <c r="AW82" s="0" t="n">
        <v>0.445714458531653</v>
      </c>
      <c r="AZ82" s="0" t="n">
        <v>0.347395026568931</v>
      </c>
      <c r="BA82" s="0" t="n">
        <v>0.324795026568931</v>
      </c>
      <c r="BC82" s="0" t="n">
        <v>0.282055307601985</v>
      </c>
      <c r="BD82" s="0" t="n">
        <v>0.259455307601985</v>
      </c>
      <c r="BE82" s="0" t="n">
        <v>0.161171932926427</v>
      </c>
      <c r="BF82" s="3" t="n">
        <v>0.115971932926427</v>
      </c>
      <c r="BG82" s="0" t="n">
        <v>0.0412205599335123</v>
      </c>
      <c r="BH82" s="0" t="n">
        <f aca="false">M82/BG82</f>
        <v>0.717847725358191</v>
      </c>
      <c r="BI82" s="0" t="n">
        <v>1.39109649773504E-023</v>
      </c>
      <c r="BJ82" s="0" t="n">
        <v>0.581858947152097</v>
      </c>
      <c r="BK82" s="0" t="n">
        <v>0.416163905288054</v>
      </c>
      <c r="BL82" s="0" t="n">
        <v>0.468314458531653</v>
      </c>
      <c r="BM82" s="0" t="n">
        <v>0.445714458531653</v>
      </c>
      <c r="BN82" s="0" t="e">
        <f aca="false">#REF!/#REF!</f>
        <v>#REF!</v>
      </c>
      <c r="BO82" s="0" t="e">
        <f aca="false">BN82-0.0226</f>
        <v>#REF!</v>
      </c>
    </row>
    <row r="83" customFormat="false" ht="12.8" hidden="false" customHeight="false" outlineLevel="0" collapsed="false">
      <c r="A83" s="0" t="s">
        <v>136</v>
      </c>
      <c r="B83" s="0" t="s">
        <v>111</v>
      </c>
      <c r="C83" s="0" t="s">
        <v>51</v>
      </c>
      <c r="D83" s="0" t="s">
        <v>52</v>
      </c>
      <c r="E83" s="0" t="n">
        <v>0.5624</v>
      </c>
      <c r="F83" s="0" t="n">
        <v>3.9055</v>
      </c>
      <c r="G83" s="0" t="n">
        <v>659</v>
      </c>
      <c r="H83" s="0" t="n">
        <v>600</v>
      </c>
      <c r="I83" s="0" t="s">
        <v>53</v>
      </c>
      <c r="J83" s="0" t="n">
        <v>0.0676267333</v>
      </c>
      <c r="K83" s="0" t="n">
        <v>0.0916417</v>
      </c>
      <c r="L83" s="0" t="n">
        <v>0.0333203771624738</v>
      </c>
      <c r="M83" s="1" t="n">
        <v>0.0295009378192416</v>
      </c>
      <c r="N83" s="0" t="n">
        <v>0.286196086580529</v>
      </c>
      <c r="O83" s="0" t="n">
        <v>0.26973687613064</v>
      </c>
      <c r="P83" s="0" t="n">
        <v>0.232032113006082</v>
      </c>
      <c r="Q83" s="0" t="n">
        <v>0.292514159154851</v>
      </c>
      <c r="R83" s="11" t="n">
        <v>0.22895708519</v>
      </c>
      <c r="S83" s="11" t="n">
        <v>0.195636708027526</v>
      </c>
      <c r="T83" s="0" t="n">
        <v>0.000147193555888833</v>
      </c>
      <c r="U83" s="11" t="n">
        <v>0.0001955209860755</v>
      </c>
      <c r="V83" s="11" t="n">
        <v>0.000230870510332333</v>
      </c>
      <c r="Z83" s="1"/>
      <c r="AA83" s="1"/>
      <c r="AB83" s="11"/>
      <c r="AJ83" s="0" t="n">
        <v>3.0673559046657</v>
      </c>
      <c r="AK83" s="0" t="n">
        <v>0.000279197940519</v>
      </c>
      <c r="AL83" s="0" t="n">
        <f aca="false">AK83-0.0000483274301866667</f>
        <v>0.000230870510332333</v>
      </c>
      <c r="AM83" s="0" t="n">
        <v>0.741685831284449</v>
      </c>
      <c r="AN83" s="0" t="n">
        <v>6.02650397038097E-020</v>
      </c>
      <c r="AO83" s="0" t="n">
        <v>0.000147170199218333</v>
      </c>
      <c r="AP83" s="0" t="n">
        <v>3.08055693211962</v>
      </c>
      <c r="AQ83" s="0" t="n">
        <v>0.000279197940519</v>
      </c>
      <c r="AR83" s="0" t="n">
        <f aca="false">AQ83-0.0000483274301866667</f>
        <v>0.000230870510332333</v>
      </c>
      <c r="AS83" s="0" t="n">
        <v>0.741685831284449</v>
      </c>
      <c r="AT83" s="0" t="n">
        <v>9.18049035492357E-020</v>
      </c>
      <c r="AU83" s="3" t="n">
        <v>0.089871591285647</v>
      </c>
      <c r="AV83" s="0" t="n">
        <v>0.0123206328557176</v>
      </c>
      <c r="AW83" s="0" t="n">
        <v>0.324498498603417</v>
      </c>
      <c r="AZ83" s="0" t="n">
        <v>0.349337750934934</v>
      </c>
      <c r="BA83" s="0" t="n">
        <v>0.326737750934934</v>
      </c>
      <c r="BC83" s="0" t="n">
        <v>0.254632113006082</v>
      </c>
      <c r="BD83" s="0" t="n">
        <v>0.232032113006082</v>
      </c>
      <c r="BE83" s="0" t="n">
        <v>0.138899140995935</v>
      </c>
      <c r="BF83" s="3" t="n">
        <v>0.093699140995935</v>
      </c>
      <c r="BG83" s="0" t="n">
        <v>0.0437567469711363</v>
      </c>
      <c r="BH83" s="0" t="n">
        <f aca="false">M83/BG83</f>
        <v>0.674203176911245</v>
      </c>
      <c r="BI83" s="0" t="n">
        <v>7.71304652697975E-024</v>
      </c>
      <c r="BJ83" s="0" t="n">
        <v>0.563235837311625</v>
      </c>
      <c r="BK83" s="0" t="n">
        <v>0.327807506826596</v>
      </c>
      <c r="BL83" s="0" t="n">
        <v>0.347098498603417</v>
      </c>
      <c r="BM83" s="0" t="n">
        <v>0.324498498603417</v>
      </c>
      <c r="BN83" s="0" t="e">
        <f aca="false">#REF!/#REF!</f>
        <v>#REF!</v>
      </c>
      <c r="BO83" s="0" t="e">
        <f aca="false">BN83-0.0226</f>
        <v>#REF!</v>
      </c>
    </row>
    <row r="84" customFormat="false" ht="12.8" hidden="false" customHeight="false" outlineLevel="0" collapsed="false">
      <c r="A84" s="0" t="s">
        <v>137</v>
      </c>
      <c r="B84" s="0" t="s">
        <v>111</v>
      </c>
      <c r="C84" s="0" t="s">
        <v>59</v>
      </c>
      <c r="D84" s="0" t="s">
        <v>52</v>
      </c>
      <c r="E84" s="0" t="n">
        <v>0.3731</v>
      </c>
      <c r="F84" s="0" t="n">
        <v>3.6195</v>
      </c>
      <c r="G84" s="0" t="n">
        <v>1049</v>
      </c>
      <c r="H84" s="0" t="n">
        <v>991</v>
      </c>
      <c r="I84" s="0" t="s">
        <v>53</v>
      </c>
      <c r="J84" s="0" t="n">
        <v>0</v>
      </c>
      <c r="K84" s="0" t="n">
        <v>0.54232</v>
      </c>
      <c r="L84" s="0" t="n">
        <v>0.0407093468938736</v>
      </c>
      <c r="M84" s="1" t="n">
        <v>0.03166836911999</v>
      </c>
      <c r="N84" s="0" t="n">
        <v>0.26338454667573</v>
      </c>
      <c r="O84" s="0" t="n">
        <v>0.340073482614722</v>
      </c>
      <c r="P84" s="0" t="n">
        <v>0.262281309927142</v>
      </c>
      <c r="Q84" s="0" t="n">
        <v>0.307045212821899</v>
      </c>
      <c r="R84" s="11" t="n">
        <v>0.298030519765</v>
      </c>
      <c r="S84" s="11" t="n">
        <v>0.257321172871126</v>
      </c>
      <c r="T84" s="0" t="n">
        <v>0.000132445811304</v>
      </c>
      <c r="U84" s="11" t="n">
        <v>0.000169580468664</v>
      </c>
      <c r="V84" s="11" t="n">
        <v>0.000197991598828</v>
      </c>
      <c r="Z84" s="1"/>
      <c r="AA84" s="1"/>
      <c r="AB84" s="11"/>
      <c r="AJ84" s="0" t="n">
        <v>3.48785799321264</v>
      </c>
      <c r="AK84" s="0" t="n">
        <v>0.000239081422004</v>
      </c>
      <c r="AL84" s="0" t="n">
        <f aca="false">AK84-0.00003713465736</f>
        <v>0.000201946764644</v>
      </c>
      <c r="AM84" s="0" t="n">
        <v>0.687386544644864</v>
      </c>
      <c r="AN84" s="0" t="n">
        <v>2.17498543132849E-031</v>
      </c>
      <c r="AO84" s="0" t="n">
        <v>0.000132035549162</v>
      </c>
      <c r="AP84" s="0" t="n">
        <v>3.5080823637988</v>
      </c>
      <c r="AQ84" s="0" t="n">
        <v>0.000235126256188</v>
      </c>
      <c r="AR84" s="0" t="n">
        <f aca="false">AQ84-0.00003713465736</f>
        <v>0.000197991598828</v>
      </c>
      <c r="AS84" s="0" t="n">
        <v>0.616632329858765</v>
      </c>
      <c r="AT84" s="0" t="n">
        <v>7.2182846646383E-029</v>
      </c>
      <c r="AU84" s="3" t="n">
        <v>0.105429154957951</v>
      </c>
      <c r="AV84" s="0" t="n">
        <v>9.37125449950657E-006</v>
      </c>
      <c r="AW84" s="0" t="n">
        <v>0</v>
      </c>
      <c r="AZ84" s="0" t="n">
        <v>0.314052431324926</v>
      </c>
      <c r="BA84" s="0" t="n">
        <v>0.293352431324926</v>
      </c>
      <c r="BC84" s="0" t="n">
        <v>0.282981309927142</v>
      </c>
      <c r="BD84" s="0" t="n">
        <v>0.262281309927142</v>
      </c>
      <c r="BE84" s="0" t="n">
        <v>0.162208984548021</v>
      </c>
      <c r="BF84" s="3" t="n">
        <v>0.120808984548021</v>
      </c>
      <c r="BG84" s="0" t="n">
        <v>0.0424245037385634</v>
      </c>
      <c r="BH84" s="0" t="n">
        <f aca="false">M84/BG84</f>
        <v>0.746464102801132</v>
      </c>
      <c r="BI84" s="0" t="n">
        <v>2.22629463890173E-025</v>
      </c>
      <c r="BJ84" s="0" t="n">
        <v>0.560485862368073</v>
      </c>
      <c r="BK84" s="0" t="n">
        <v>0</v>
      </c>
      <c r="BL84" s="0" t="n">
        <v>0</v>
      </c>
      <c r="BM84" s="0" t="n">
        <v>0</v>
      </c>
      <c r="BN84" s="0" t="e">
        <f aca="false">#REF!/#REF!</f>
        <v>#REF!</v>
      </c>
      <c r="BO84" s="0" t="n">
        <v>0</v>
      </c>
    </row>
    <row r="85" customFormat="false" ht="12.8" hidden="false" customHeight="false" outlineLevel="0" collapsed="false">
      <c r="A85" s="0" t="s">
        <v>138</v>
      </c>
      <c r="B85" s="0" t="s">
        <v>111</v>
      </c>
      <c r="C85" s="0" t="s">
        <v>59</v>
      </c>
      <c r="D85" s="0" t="s">
        <v>52</v>
      </c>
      <c r="E85" s="0" t="n">
        <v>0.1162</v>
      </c>
      <c r="F85" s="0" t="n">
        <v>1.4558</v>
      </c>
      <c r="G85" s="0" t="n">
        <v>149</v>
      </c>
      <c r="H85" s="0" t="n">
        <v>123</v>
      </c>
      <c r="I85" s="0" t="s">
        <v>53</v>
      </c>
      <c r="J85" s="0" t="n">
        <v>0</v>
      </c>
      <c r="K85" s="0" t="n">
        <v>0.0472168</v>
      </c>
      <c r="L85" s="0" t="n">
        <v>0.00578320918588354</v>
      </c>
      <c r="M85" s="1" t="n">
        <v>0.0486615743196643</v>
      </c>
      <c r="N85" s="0" t="n">
        <v>0.210663656874458</v>
      </c>
      <c r="O85" s="0" t="n">
        <v>0.225670891936752</v>
      </c>
      <c r="P85" s="0" t="n">
        <v>0.15862308120599</v>
      </c>
      <c r="Q85" s="0" t="n">
        <v>0.210398553116585</v>
      </c>
      <c r="R85" s="11" t="n">
        <v>0.0606033698808</v>
      </c>
      <c r="S85" s="11" t="n">
        <v>0.0548201606949165</v>
      </c>
      <c r="T85" s="0" t="n">
        <v>0.0001896311735645</v>
      </c>
      <c r="U85" s="11" t="n">
        <v>0.0002267658309245</v>
      </c>
      <c r="V85" s="11" t="n">
        <v>0.000259910379787</v>
      </c>
      <c r="Z85" s="1"/>
      <c r="AA85" s="1"/>
      <c r="AB85" s="11"/>
      <c r="AJ85" s="0" t="n">
        <v>1.09209074407739</v>
      </c>
      <c r="AK85" s="0" t="n">
        <v>0.000290841794682</v>
      </c>
      <c r="AL85" s="0" t="n">
        <f aca="false">AK85-0.00003713465736</f>
        <v>0.000253707137322</v>
      </c>
      <c r="AM85" s="0" t="n">
        <v>0.16612333183025</v>
      </c>
      <c r="AN85" s="0" t="n">
        <v>0.0257947411413985</v>
      </c>
      <c r="AO85" s="0" t="n">
        <v>0.000184960599406</v>
      </c>
      <c r="AP85" s="0" t="n">
        <v>1.16071889139304</v>
      </c>
      <c r="AQ85" s="0" t="n">
        <v>0.000297045037147</v>
      </c>
      <c r="AR85" s="0" t="n">
        <f aca="false">AQ85-0.00003713465736</f>
        <v>0.000259910379787</v>
      </c>
      <c r="AS85" s="0" t="n">
        <v>0.108427857430311</v>
      </c>
      <c r="AT85" s="0" t="n">
        <v>0.0272055044578041</v>
      </c>
      <c r="AU85" s="3" t="n">
        <v>0.060955920873492</v>
      </c>
      <c r="AV85" s="0" t="n">
        <v>0.25136307962858</v>
      </c>
      <c r="AW85" s="0" t="n">
        <v>0</v>
      </c>
      <c r="AZ85" s="0" t="n">
        <v>0.313013531458442</v>
      </c>
      <c r="BA85" s="0" t="n">
        <v>0.292313531458442</v>
      </c>
      <c r="BC85" s="0" t="n">
        <v>0.17932308120599</v>
      </c>
      <c r="BD85" s="0" t="n">
        <v>0.15862308120599</v>
      </c>
      <c r="BE85" s="0" t="n">
        <v>0.101076862975281</v>
      </c>
      <c r="BF85" s="3" t="n">
        <v>0.059676862975281</v>
      </c>
      <c r="BG85" s="0" t="n">
        <v>0.0557538834044193</v>
      </c>
      <c r="BH85" s="0" t="n">
        <f aca="false">M85/BG85</f>
        <v>0.872792554496879</v>
      </c>
      <c r="BI85" s="0" t="n">
        <v>0.0472041531392397</v>
      </c>
      <c r="BJ85" s="0" t="n">
        <v>0.546253287963292</v>
      </c>
      <c r="BK85" s="0" t="n">
        <v>0</v>
      </c>
      <c r="BL85" s="0" t="n">
        <v>0</v>
      </c>
      <c r="BM85" s="0" t="n">
        <v>0</v>
      </c>
      <c r="BN85" s="0" t="e">
        <f aca="false">#REF!/#REF!</f>
        <v>#REF!</v>
      </c>
      <c r="BO85" s="0" t="n">
        <v>0</v>
      </c>
    </row>
    <row r="86" customFormat="false" ht="12.8" hidden="false" customHeight="false" outlineLevel="0" collapsed="false">
      <c r="A86" s="0" t="s">
        <v>139</v>
      </c>
      <c r="B86" s="0" t="s">
        <v>111</v>
      </c>
      <c r="C86" s="0" t="s">
        <v>51</v>
      </c>
      <c r="D86" s="0" t="s">
        <v>52</v>
      </c>
      <c r="E86" s="0" t="n">
        <v>0.1388</v>
      </c>
      <c r="F86" s="0" t="n">
        <v>1.689</v>
      </c>
      <c r="G86" s="0" t="n">
        <v>130</v>
      </c>
      <c r="H86" s="0" t="n">
        <v>104</v>
      </c>
      <c r="I86" s="0" t="s">
        <v>53</v>
      </c>
      <c r="J86" s="0" t="n">
        <v>0.0161528122</v>
      </c>
      <c r="K86" s="0" t="n">
        <v>0.0250182</v>
      </c>
      <c r="L86" s="0" t="n">
        <v>0.00657349031967272</v>
      </c>
      <c r="M86" s="1" t="n">
        <v>0.0376897589727718</v>
      </c>
      <c r="N86" s="0" t="n">
        <v>0.252179037007167</v>
      </c>
      <c r="O86" s="0" t="n">
        <v>0.180835066161401</v>
      </c>
      <c r="P86" s="0" t="n">
        <v>0.138767063210527</v>
      </c>
      <c r="Q86" s="0" t="n">
        <v>0.269174129712729</v>
      </c>
      <c r="R86" s="11" t="n">
        <v>0.0489017802526</v>
      </c>
      <c r="S86" s="11" t="n">
        <v>0.0423282899329273</v>
      </c>
      <c r="T86" s="0" t="n">
        <v>0.000113733231346333</v>
      </c>
      <c r="U86" s="11" t="n">
        <v>0.000162060661533</v>
      </c>
      <c r="V86" s="11" t="n">
        <v>0.000207259291247333</v>
      </c>
      <c r="Z86" s="1"/>
      <c r="AA86" s="1"/>
      <c r="AB86" s="11"/>
      <c r="AJ86" s="0" t="n">
        <v>1.69732458495902</v>
      </c>
      <c r="AK86" s="0" t="n">
        <v>0.00023505475994</v>
      </c>
      <c r="AL86" s="0" t="n">
        <f aca="false">AK86-0.0000483274301866667</f>
        <v>0.000186727329753333</v>
      </c>
      <c r="AM86" s="0" t="n">
        <v>0.501278744118892</v>
      </c>
      <c r="AN86" s="0" t="n">
        <v>0.000236725505838915</v>
      </c>
      <c r="AO86" s="0" t="n">
        <v>0.000113733231346333</v>
      </c>
      <c r="AP86" s="0" t="n">
        <v>1.69732458495902</v>
      </c>
      <c r="AQ86" s="0" t="n">
        <v>0.000255586721434</v>
      </c>
      <c r="AR86" s="0" t="n">
        <f aca="false">AQ86-0.0000483274301866667</f>
        <v>0.000207259291247333</v>
      </c>
      <c r="AS86" s="0" t="n">
        <v>0.325512786886177</v>
      </c>
      <c r="AT86" s="0" t="n">
        <v>0.000149578978533839</v>
      </c>
      <c r="AU86" s="3" t="n">
        <v>0.0440809462073221</v>
      </c>
      <c r="AV86" s="0" t="n">
        <v>0.106507665558818</v>
      </c>
      <c r="AW86" s="0" t="n">
        <v>0.1311081252673</v>
      </c>
      <c r="AZ86" s="0" t="n">
        <v>0.3619609994213</v>
      </c>
      <c r="BA86" s="0" t="n">
        <v>0.3393609994213</v>
      </c>
      <c r="BC86" s="0" t="n">
        <v>0.161367063210527</v>
      </c>
      <c r="BD86" s="0" t="n">
        <v>0.138767063210527</v>
      </c>
      <c r="BE86" s="0" t="n">
        <v>0.0881245666441708</v>
      </c>
      <c r="BF86" s="3" t="n">
        <v>0.0429245666441708</v>
      </c>
      <c r="BG86" s="0" t="n">
        <v>0.0497598633919676</v>
      </c>
      <c r="BH86" s="0" t="n">
        <f aca="false">M86/BG86</f>
        <v>0.757432926933152</v>
      </c>
      <c r="BI86" s="0" t="n">
        <v>0.000160229228906789</v>
      </c>
      <c r="BJ86" s="0" t="n">
        <v>0.605025077864956</v>
      </c>
      <c r="BK86" s="0" t="n">
        <v>0.11168083677342</v>
      </c>
      <c r="BL86" s="0" t="n">
        <v>0.1537081252673</v>
      </c>
      <c r="BM86" s="0" t="n">
        <v>0.1311081252673</v>
      </c>
      <c r="BN86" s="0" t="e">
        <f aca="false">#REF!/#REF!</f>
        <v>#REF!</v>
      </c>
      <c r="BO86" s="0" t="e">
        <f aca="false">BN86-0.0226</f>
        <v>#REF!</v>
      </c>
    </row>
    <row r="87" customFormat="false" ht="12.8" hidden="false" customHeight="false" outlineLevel="0" collapsed="false">
      <c r="A87" s="0" t="s">
        <v>140</v>
      </c>
      <c r="B87" s="0" t="s">
        <v>111</v>
      </c>
      <c r="C87" s="0" t="s">
        <v>51</v>
      </c>
      <c r="D87" s="0" t="s">
        <v>52</v>
      </c>
      <c r="E87" s="0" t="n">
        <v>0.2629</v>
      </c>
      <c r="F87" s="0" t="n">
        <v>2.5758</v>
      </c>
      <c r="G87" s="0" t="n">
        <v>383</v>
      </c>
      <c r="H87" s="0" t="n">
        <v>338</v>
      </c>
      <c r="I87" s="0" t="s">
        <v>55</v>
      </c>
      <c r="J87" s="0" t="n">
        <v>0.0527643822</v>
      </c>
      <c r="K87" s="0" t="n">
        <v>0.0528266</v>
      </c>
      <c r="L87" s="0" t="n">
        <v>0.0193796005339195</v>
      </c>
      <c r="M87" s="1" t="n">
        <v>0.0345580548606102</v>
      </c>
      <c r="N87" s="0" t="n">
        <v>0.250674523794957</v>
      </c>
      <c r="O87" s="0" t="n">
        <v>0.261146088911102</v>
      </c>
      <c r="P87" s="0" t="n">
        <v>0.205723745277083</v>
      </c>
      <c r="Q87" s="0" t="n">
        <v>0.251811247872383</v>
      </c>
      <c r="R87" s="11" t="n">
        <v>0.13759528962</v>
      </c>
      <c r="S87" s="11" t="n">
        <v>0.11821568908608</v>
      </c>
      <c r="T87" s="0" t="n">
        <v>0.000124961562753833</v>
      </c>
      <c r="U87" s="11" t="n">
        <v>0.0001732889929405</v>
      </c>
      <c r="V87" s="11" t="n">
        <v>0.000200425859686333</v>
      </c>
      <c r="Z87" s="1"/>
      <c r="AA87" s="1"/>
      <c r="AB87" s="11"/>
      <c r="AJ87" s="0" t="n">
        <v>0.922340344269779</v>
      </c>
      <c r="AK87" s="0" t="n">
        <v>0.0002485736903835</v>
      </c>
      <c r="AL87" s="0" t="n">
        <f aca="false">AK87-0.0000483274301866667</f>
        <v>0.000200246260196833</v>
      </c>
      <c r="AM87" s="0" t="n">
        <v>1.00649115535269</v>
      </c>
      <c r="AN87" s="0" t="n">
        <v>1.4298321E-012</v>
      </c>
      <c r="AO87" s="0" t="n">
        <v>0.000123469790859833</v>
      </c>
      <c r="AP87" s="0" t="n">
        <v>0.839018741675273</v>
      </c>
      <c r="AQ87" s="0" t="n">
        <v>0.000248753289873</v>
      </c>
      <c r="AR87" s="0" t="n">
        <f aca="false">AQ87-0.0000483274301866667</f>
        <v>0.000200425859686333</v>
      </c>
      <c r="AS87" s="0" t="n">
        <v>0.984253247634288</v>
      </c>
      <c r="AT87" s="0" t="n">
        <v>4.9690781E-013</v>
      </c>
      <c r="AU87" s="3" t="n">
        <v>0.068388328867871</v>
      </c>
      <c r="AV87" s="0" t="n">
        <v>0.192388680405677</v>
      </c>
      <c r="AW87" s="0" t="n">
        <v>0.101891911005704</v>
      </c>
      <c r="AZ87" s="0" t="n">
        <v>0.383207946599763</v>
      </c>
      <c r="BA87" s="0" t="n">
        <v>0.360607946599763</v>
      </c>
      <c r="BC87" s="0" t="n">
        <v>0.228323745277083</v>
      </c>
      <c r="BD87" s="0" t="n">
        <v>0.205723745277083</v>
      </c>
      <c r="BE87" s="0" t="n">
        <v>0.118263714000892</v>
      </c>
      <c r="BF87" s="3" t="n">
        <v>0.073063714000892</v>
      </c>
      <c r="BG87" s="0" t="n">
        <v>0.0468435152915532</v>
      </c>
      <c r="BH87" s="0" t="n">
        <f aca="false">M87/BG87</f>
        <v>0.737734020291208</v>
      </c>
      <c r="BI87" s="0" t="n">
        <v>2.16173083671E-009</v>
      </c>
      <c r="BJ87" s="0" t="n">
        <v>0.511663421434491</v>
      </c>
      <c r="BK87" s="0" t="n">
        <v>0.0695308243798742</v>
      </c>
      <c r="BL87" s="0" t="n">
        <v>0.124491911005704</v>
      </c>
      <c r="BM87" s="0" t="n">
        <v>0.101891911005704</v>
      </c>
      <c r="BN87" s="0" t="e">
        <f aca="false">#REF!/#REF!</f>
        <v>#REF!</v>
      </c>
      <c r="BO87" s="0" t="e">
        <f aca="false">BN87-0.0226</f>
        <v>#REF!</v>
      </c>
    </row>
    <row r="88" customFormat="false" ht="12.8" hidden="false" customHeight="false" outlineLevel="0" collapsed="false">
      <c r="A88" s="0" t="s">
        <v>141</v>
      </c>
      <c r="B88" s="0" t="s">
        <v>111</v>
      </c>
      <c r="C88" s="0" t="s">
        <v>59</v>
      </c>
      <c r="D88" s="0" t="s">
        <v>52</v>
      </c>
      <c r="E88" s="0" t="n">
        <v>0.1294</v>
      </c>
      <c r="F88" s="0" t="n">
        <v>1.554</v>
      </c>
      <c r="G88" s="0" t="n">
        <v>252</v>
      </c>
      <c r="H88" s="0" t="n">
        <v>213</v>
      </c>
      <c r="I88" s="0" t="s">
        <v>53</v>
      </c>
      <c r="J88" s="0" t="n">
        <v>0</v>
      </c>
      <c r="K88" s="0" t="n">
        <v>0.031521</v>
      </c>
      <c r="L88" s="0" t="n">
        <v>0.00978311463786167</v>
      </c>
      <c r="M88" s="1" t="n">
        <v>0.0386310501872221</v>
      </c>
      <c r="N88" s="0" t="n">
        <v>0.294167509769428</v>
      </c>
      <c r="O88" s="0" t="n">
        <v>0.228276432641659</v>
      </c>
      <c r="P88" s="0" t="n">
        <v>0.1872098348042</v>
      </c>
      <c r="Q88" s="0" t="n">
        <v>0.299392263255142</v>
      </c>
      <c r="R88" s="11" t="n">
        <v>0.0759888759351</v>
      </c>
      <c r="S88" s="11" t="n">
        <v>0.0662057612972383</v>
      </c>
      <c r="T88" s="0" t="n">
        <v>0.000158628731035</v>
      </c>
      <c r="U88" s="11" t="n">
        <v>0.000195763388395</v>
      </c>
      <c r="V88" s="11" t="n">
        <v>0.0002074683692755</v>
      </c>
      <c r="Z88" s="1"/>
      <c r="AA88" s="1"/>
      <c r="AB88" s="11"/>
      <c r="AJ88" s="0" t="n">
        <v>1.87130544191943</v>
      </c>
      <c r="AK88" s="0" t="n">
        <v>0.0002446030266355</v>
      </c>
      <c r="AL88" s="0" t="n">
        <f aca="false">AK88-0.00003713465736</f>
        <v>0.0002074683692755</v>
      </c>
      <c r="AM88" s="0" t="n">
        <v>1.09174818034876</v>
      </c>
      <c r="AN88" s="0" t="n">
        <v>0.00690344289414778</v>
      </c>
      <c r="AO88" s="0" t="n">
        <v>0.000158628731035</v>
      </c>
      <c r="AP88" s="0" t="n">
        <v>1.87130544191943</v>
      </c>
      <c r="AQ88" s="0" t="n">
        <v>0.0002446030266355</v>
      </c>
      <c r="AR88" s="0" t="n">
        <f aca="false">AQ88-0.00003713465736</f>
        <v>0.0002074683692755</v>
      </c>
      <c r="AS88" s="0" t="n">
        <v>1.09174818034876</v>
      </c>
      <c r="AT88" s="0" t="n">
        <v>0.0138068857882956</v>
      </c>
      <c r="AU88" s="3" t="n">
        <v>0.0529506514917952</v>
      </c>
      <c r="AV88" s="0" t="n">
        <v>0.199856661481013</v>
      </c>
      <c r="AW88" s="0" t="n">
        <v>0</v>
      </c>
      <c r="AZ88" s="0" t="n">
        <v>0.34518959749389</v>
      </c>
      <c r="BA88" s="0" t="n">
        <v>0.32448959749389</v>
      </c>
      <c r="BC88" s="0" t="n">
        <v>0.2079098348042</v>
      </c>
      <c r="BD88" s="0" t="n">
        <v>0.1872098348042</v>
      </c>
      <c r="BE88" s="0" t="n">
        <v>0.101916576715596</v>
      </c>
      <c r="BF88" s="3" t="n">
        <v>0.060516576715596</v>
      </c>
      <c r="BG88" s="0" t="n">
        <v>0.0465162706414572</v>
      </c>
      <c r="BH88" s="0" t="n">
        <f aca="false">M88/BG88</f>
        <v>0.830484681048195</v>
      </c>
      <c r="BI88" s="0" t="n">
        <v>0.00141018876512704</v>
      </c>
      <c r="BJ88" s="0" t="n">
        <v>0.505823948534987</v>
      </c>
      <c r="BK88" s="0" t="n">
        <v>0</v>
      </c>
      <c r="BL88" s="0" t="n">
        <v>0</v>
      </c>
      <c r="BM88" s="0" t="n">
        <v>0</v>
      </c>
      <c r="BN88" s="0" t="e">
        <f aca="false">#REF!/#REF!</f>
        <v>#REF!</v>
      </c>
      <c r="BO88" s="0" t="n">
        <v>0</v>
      </c>
    </row>
    <row r="89" customFormat="false" ht="12.8" hidden="false" customHeight="false" outlineLevel="0" collapsed="false">
      <c r="A89" s="0" t="s">
        <v>142</v>
      </c>
      <c r="B89" s="0" t="s">
        <v>111</v>
      </c>
      <c r="C89" s="0" t="s">
        <v>59</v>
      </c>
      <c r="D89" s="0" t="s">
        <v>52</v>
      </c>
      <c r="E89" s="0" t="n">
        <v>0.2057</v>
      </c>
      <c r="F89" s="0" t="n">
        <v>2.291</v>
      </c>
      <c r="G89" s="0" t="n">
        <v>604</v>
      </c>
      <c r="H89" s="0" t="n">
        <v>552</v>
      </c>
      <c r="I89" s="0" t="s">
        <v>53</v>
      </c>
      <c r="J89" s="0" t="n">
        <v>0</v>
      </c>
      <c r="K89" s="0" t="n">
        <v>0.231001</v>
      </c>
      <c r="L89" s="0" t="n">
        <v>0.0232479836394917</v>
      </c>
      <c r="M89" s="1" t="n">
        <v>0.0299332785281827</v>
      </c>
      <c r="N89" s="0" t="n">
        <v>0.229556533725979</v>
      </c>
      <c r="O89" s="0" t="n">
        <v>0.283498188073095</v>
      </c>
      <c r="P89" s="0" t="n">
        <v>0.219135956261634</v>
      </c>
      <c r="Q89" s="0" t="n">
        <v>0.230191266677268</v>
      </c>
      <c r="R89" s="11" t="n">
        <v>0.157203580994</v>
      </c>
      <c r="S89" s="11" t="n">
        <v>0.133955597354508</v>
      </c>
      <c r="T89" s="0" t="n">
        <v>0.000114161782047</v>
      </c>
      <c r="U89" s="11" t="n">
        <v>0.000151296439407</v>
      </c>
      <c r="V89" s="11" t="n">
        <v>0.000168813292626</v>
      </c>
      <c r="Z89" s="1"/>
      <c r="AA89" s="1"/>
      <c r="AB89" s="11"/>
      <c r="AJ89" s="0" t="n">
        <v>2.19647973043203</v>
      </c>
      <c r="AK89" s="0" t="n">
        <v>0</v>
      </c>
      <c r="AL89" s="0" t="n">
        <f aca="false">AK89-0.00003713465736</f>
        <v>-3.713465736E-005</v>
      </c>
      <c r="AM89" s="0" t="n">
        <v>100</v>
      </c>
      <c r="AN89" s="0" t="n">
        <v>0</v>
      </c>
      <c r="AO89" s="0" t="n">
        <v>0.0001134587498825</v>
      </c>
      <c r="AP89" s="0" t="n">
        <v>2.30519944096618</v>
      </c>
      <c r="AQ89" s="0" t="n">
        <v>0.000205947949986</v>
      </c>
      <c r="AR89" s="0" t="n">
        <f aca="false">AQ89-0.00003713465736</f>
        <v>0.000168813292626</v>
      </c>
      <c r="AS89" s="0" t="n">
        <v>0.985473129859832</v>
      </c>
      <c r="AT89" s="0" t="n">
        <v>7.033484634E-011</v>
      </c>
      <c r="AU89" s="3" t="n">
        <v>0.072652517727693</v>
      </c>
      <c r="AV89" s="0" t="n">
        <v>0.00345791011673274</v>
      </c>
      <c r="AW89" s="0" t="n">
        <v>0</v>
      </c>
      <c r="AZ89" s="0" t="n">
        <v>0.163830032069235</v>
      </c>
      <c r="BA89" s="0" t="n">
        <v>0.143130032069235</v>
      </c>
      <c r="BC89" s="0" t="n">
        <v>0.239835956261634</v>
      </c>
      <c r="BD89" s="0" t="n">
        <v>0.219135956261634</v>
      </c>
      <c r="BE89" s="0" t="n">
        <v>0.122292475885335</v>
      </c>
      <c r="BF89" s="3" t="n">
        <v>0.080892475885335</v>
      </c>
      <c r="BG89" s="0" t="n">
        <v>0.040560439483859</v>
      </c>
      <c r="BH89" s="0" t="n">
        <f aca="false">M89/BG89</f>
        <v>0.737991967273792</v>
      </c>
      <c r="BI89" s="0" t="n">
        <v>3.41132286E-012</v>
      </c>
      <c r="BJ89" s="0" t="n">
        <v>0.517929988184309</v>
      </c>
      <c r="BK89" s="0" t="n">
        <v>0</v>
      </c>
      <c r="BL89" s="0" t="n">
        <v>0</v>
      </c>
      <c r="BM89" s="0" t="n">
        <v>0</v>
      </c>
      <c r="BN89" s="0" t="e">
        <f aca="false">#REF!/#REF!</f>
        <v>#REF!</v>
      </c>
      <c r="BO89" s="0" t="n">
        <v>0</v>
      </c>
    </row>
    <row r="90" customFormat="false" ht="12.8" hidden="false" customHeight="false" outlineLevel="0" collapsed="false">
      <c r="A90" s="0" t="s">
        <v>143</v>
      </c>
      <c r="B90" s="0" t="s">
        <v>111</v>
      </c>
      <c r="C90" s="0" t="s">
        <v>51</v>
      </c>
      <c r="D90" s="0" t="s">
        <v>52</v>
      </c>
      <c r="E90" s="0" t="n">
        <v>0.287</v>
      </c>
      <c r="F90" s="0" t="n">
        <v>3.0825</v>
      </c>
      <c r="G90" s="0" t="n">
        <v>551</v>
      </c>
      <c r="H90" s="0" t="n">
        <v>514</v>
      </c>
      <c r="I90" s="0" t="s">
        <v>55</v>
      </c>
      <c r="J90" s="0" t="n">
        <v>0.0346303992</v>
      </c>
      <c r="K90" s="0" t="n">
        <v>0.0969923</v>
      </c>
      <c r="L90" s="0" t="n">
        <v>0.0278639955137061</v>
      </c>
      <c r="M90" s="1" t="n">
        <v>0.0270919848438865</v>
      </c>
      <c r="N90" s="0" t="n">
        <v>0.250968611559113</v>
      </c>
      <c r="O90" s="0" t="n">
        <v>0.261922378525136</v>
      </c>
      <c r="P90" s="0" t="n">
        <v>0.216193084584462</v>
      </c>
      <c r="Q90" s="0" t="n">
        <v>0.363035931243455</v>
      </c>
      <c r="R90" s="11" t="n">
        <v>0.153503667012</v>
      </c>
      <c r="S90" s="11" t="n">
        <v>0.125639671498294</v>
      </c>
      <c r="T90" s="0" t="n">
        <v>4.94069616741148E-005</v>
      </c>
      <c r="U90" s="11" t="n">
        <v>0.0001558728942695</v>
      </c>
      <c r="V90" s="11" t="n">
        <v>0.000158610334378833</v>
      </c>
      <c r="Z90" s="1"/>
      <c r="AA90" s="1"/>
      <c r="AB90" s="11"/>
      <c r="AJ90" s="0" t="n">
        <v>100</v>
      </c>
      <c r="AK90" s="0" t="n">
        <v>0</v>
      </c>
      <c r="AL90" s="0" t="n">
        <f aca="false">AK90-0.0000483274301866667</f>
        <v>-4.83274301866667E-005</v>
      </c>
      <c r="AM90" s="0" t="n">
        <v>100</v>
      </c>
      <c r="AN90" s="0" t="n">
        <v>0</v>
      </c>
      <c r="AO90" s="0" t="n">
        <v>4.94069616741148E-005</v>
      </c>
      <c r="AP90" s="0" t="n">
        <v>1.38144454317451</v>
      </c>
      <c r="AQ90" s="0" t="n">
        <v>0.0002069377645655</v>
      </c>
      <c r="AR90" s="0" t="n">
        <f aca="false">AQ90-0.0000483274301866667</f>
        <v>0.000158610334378833</v>
      </c>
      <c r="AS90" s="0" t="n">
        <v>0.80660341181637</v>
      </c>
      <c r="AT90" s="0" t="n">
        <v>2.14931828E-012</v>
      </c>
      <c r="AU90" s="3" t="n">
        <v>0.085196828480215</v>
      </c>
      <c r="AV90" s="0" t="n">
        <v>0.0123776027419702</v>
      </c>
      <c r="AW90" s="0" t="n">
        <v>0.312394591466099</v>
      </c>
      <c r="AZ90" s="0" t="n">
        <v>0.234202099634392</v>
      </c>
      <c r="BA90" s="0" t="n">
        <v>0.211602099634392</v>
      </c>
      <c r="BC90" s="0" t="n">
        <v>0.238793084584462</v>
      </c>
      <c r="BD90" s="0" t="n">
        <v>0.216193084584462</v>
      </c>
      <c r="BE90" s="0" t="n">
        <v>0.136198233232637</v>
      </c>
      <c r="BF90" s="3" t="n">
        <v>0.090998233232637</v>
      </c>
      <c r="BG90" s="0" t="n">
        <v>0.0371487529469948</v>
      </c>
      <c r="BH90" s="0" t="n">
        <f aca="false">M90/BG90</f>
        <v>0.729283830403199</v>
      </c>
      <c r="BI90" s="0" t="n">
        <v>4.996212652E-011</v>
      </c>
      <c r="BJ90" s="0" t="n">
        <v>0.598920680945673</v>
      </c>
      <c r="BK90" s="0" t="n">
        <v>0.299615243015583</v>
      </c>
      <c r="BL90" s="0" t="n">
        <v>0.334994591466099</v>
      </c>
      <c r="BM90" s="0" t="n">
        <v>0.312394591466099</v>
      </c>
      <c r="BN90" s="0" t="e">
        <f aca="false">#REF!/#REF!</f>
        <v>#REF!</v>
      </c>
      <c r="BO90" s="0" t="e">
        <f aca="false">BN90-0.0226</f>
        <v>#REF!</v>
      </c>
    </row>
    <row r="91" customFormat="false" ht="12.8" hidden="false" customHeight="false" outlineLevel="0" collapsed="false">
      <c r="A91" s="0" t="s">
        <v>144</v>
      </c>
      <c r="B91" s="0" t="s">
        <v>111</v>
      </c>
      <c r="C91" s="0" t="s">
        <v>51</v>
      </c>
      <c r="D91" s="0" t="s">
        <v>52</v>
      </c>
      <c r="E91" s="0" t="n">
        <v>0.5424</v>
      </c>
      <c r="F91" s="0" t="n">
        <v>4.487</v>
      </c>
      <c r="G91" s="0" t="n">
        <v>1193</v>
      </c>
      <c r="H91" s="0" t="n">
        <v>1127</v>
      </c>
      <c r="I91" s="0" t="s">
        <v>55</v>
      </c>
      <c r="J91" s="0" t="n">
        <v>0.0444523394</v>
      </c>
      <c r="K91" s="0" t="n">
        <v>0.267883</v>
      </c>
      <c r="L91" s="0" t="n">
        <v>0.0603391447620497</v>
      </c>
      <c r="M91" s="1" t="n">
        <v>0.0287734414395206</v>
      </c>
      <c r="N91" s="0" t="n">
        <v>0.286262364796784</v>
      </c>
      <c r="O91" s="0" t="n">
        <v>0.368945372074314</v>
      </c>
      <c r="P91" s="0" t="n">
        <v>0.300485870600103</v>
      </c>
      <c r="Q91" s="0" t="n">
        <v>0.404223924029626</v>
      </c>
      <c r="R91" s="11" t="n">
        <v>0.376949814566</v>
      </c>
      <c r="S91" s="11" t="n">
        <v>0.31661066980395</v>
      </c>
      <c r="T91" s="0" t="n">
        <v>0.000126692339292333</v>
      </c>
      <c r="U91" s="11" t="n">
        <v>0.000175019769479</v>
      </c>
      <c r="V91" s="11" t="n">
        <v>0.000200157245135333</v>
      </c>
      <c r="Z91" s="1"/>
      <c r="AA91" s="1"/>
      <c r="AB91" s="11"/>
      <c r="AJ91" s="0" t="n">
        <v>1.88790447522641</v>
      </c>
      <c r="AK91" s="0" t="n">
        <v>0</v>
      </c>
      <c r="AL91" s="0" t="n">
        <f aca="false">AK91-0.0000483274301866667</f>
        <v>-4.83274301866667E-005</v>
      </c>
      <c r="AM91" s="0" t="n">
        <v>100</v>
      </c>
      <c r="AN91" s="0" t="n">
        <v>0</v>
      </c>
      <c r="AO91" s="0" t="n">
        <v>0.000126577467880833</v>
      </c>
      <c r="AP91" s="0" t="n">
        <v>1.94324402582652</v>
      </c>
      <c r="AQ91" s="0" t="n">
        <v>0.000248484675322</v>
      </c>
      <c r="AR91" s="0" t="n">
        <f aca="false">AQ91-0.0000483274301866667</f>
        <v>0.000200157245135333</v>
      </c>
      <c r="AS91" s="0" t="n">
        <v>1.0300726301542</v>
      </c>
      <c r="AT91" s="0" t="n">
        <v>4.07403235357839E-039</v>
      </c>
      <c r="AU91" s="3" t="n">
        <v>0.107706730769629</v>
      </c>
      <c r="AV91" s="0" t="n">
        <v>0.00190421153604599</v>
      </c>
      <c r="AW91" s="0" t="n">
        <v>0.180691647906367</v>
      </c>
      <c r="AZ91" s="0" t="n">
        <v>0.1845322857532</v>
      </c>
      <c r="BA91" s="0" t="n">
        <v>0.1619322857532</v>
      </c>
      <c r="BC91" s="0" t="n">
        <v>0.323085870600103</v>
      </c>
      <c r="BD91" s="0" t="n">
        <v>0.300485870600103</v>
      </c>
      <c r="BE91" s="0" t="n">
        <v>0.161507542107182</v>
      </c>
      <c r="BF91" s="3" t="n">
        <v>0.116307542107182</v>
      </c>
      <c r="BG91" s="0" t="n">
        <v>0.0415108691431724</v>
      </c>
      <c r="BH91" s="0" t="n">
        <f aca="false">M91/BG91</f>
        <v>0.693154396268602</v>
      </c>
      <c r="BI91" s="0" t="n">
        <v>6.85666236487939E-035</v>
      </c>
      <c r="BJ91" s="0" t="n">
        <v>0.508079501678212</v>
      </c>
      <c r="BK91" s="0" t="n">
        <v>0.186534636604878</v>
      </c>
      <c r="BL91" s="0" t="n">
        <v>0.203291647906367</v>
      </c>
      <c r="BM91" s="0" t="n">
        <v>0.180691647906367</v>
      </c>
      <c r="BN91" s="0" t="e">
        <f aca="false">#REF!/#REF!</f>
        <v>#REF!</v>
      </c>
      <c r="BO91" s="0" t="e">
        <f aca="false">BN91-0.0226</f>
        <v>#REF!</v>
      </c>
    </row>
    <row r="92" customFormat="false" ht="12.8" hidden="false" customHeight="false" outlineLevel="0" collapsed="false">
      <c r="A92" s="0" t="s">
        <v>145</v>
      </c>
      <c r="B92" s="0" t="s">
        <v>111</v>
      </c>
      <c r="C92" s="0" t="s">
        <v>51</v>
      </c>
      <c r="D92" s="0" t="s">
        <v>52</v>
      </c>
      <c r="E92" s="0" t="n">
        <v>0.1304</v>
      </c>
      <c r="F92" s="0" t="n">
        <v>1.5903</v>
      </c>
      <c r="G92" s="0" t="n">
        <v>86</v>
      </c>
      <c r="H92" s="0" t="n">
        <v>64</v>
      </c>
      <c r="I92" s="0" t="s">
        <v>55</v>
      </c>
      <c r="J92" s="0" t="n">
        <v>0.0248927809</v>
      </c>
      <c r="K92" s="0" t="n">
        <v>0.0457455</v>
      </c>
      <c r="L92" s="0" t="n">
        <v>0.00429626307549886</v>
      </c>
      <c r="M92" s="1" t="n">
        <v>0.0416183843478863</v>
      </c>
      <c r="N92" s="0" t="n">
        <v>0.148261139305559</v>
      </c>
      <c r="O92" s="0" t="n">
        <v>0.141446197722016</v>
      </c>
      <c r="P92" s="0" t="n">
        <v>0.108961554163398</v>
      </c>
      <c r="Q92" s="0" t="n">
        <v>0.160420791709188</v>
      </c>
      <c r="R92" s="11" t="n">
        <v>0.0258081675014</v>
      </c>
      <c r="S92" s="11" t="n">
        <v>0.0215119044259011</v>
      </c>
      <c r="T92" s="0" t="n">
        <v>0.000140106355465333</v>
      </c>
      <c r="U92" s="11" t="n">
        <v>0.000188433785652</v>
      </c>
      <c r="V92" s="11" t="n">
        <v>0.000161960075200833</v>
      </c>
      <c r="Z92" s="1"/>
      <c r="AA92" s="1"/>
      <c r="AB92" s="11"/>
      <c r="AJ92" s="0" t="n">
        <v>0.462627373788937</v>
      </c>
      <c r="AK92" s="0" t="n">
        <v>0</v>
      </c>
      <c r="AL92" s="0" t="n">
        <f aca="false">AK92-0.0000483274301866667</f>
        <v>-4.83274301866667E-005</v>
      </c>
      <c r="AM92" s="0" t="n">
        <v>100</v>
      </c>
      <c r="AN92" s="0" t="n">
        <v>0</v>
      </c>
      <c r="AO92" s="0" t="n">
        <v>0.000140106355465333</v>
      </c>
      <c r="AP92" s="0" t="n">
        <v>0.462627373788937</v>
      </c>
      <c r="AQ92" s="0" t="n">
        <v>0.0002102875053875</v>
      </c>
      <c r="AR92" s="0" t="n">
        <f aca="false">AQ92-0.0000483274301866667</f>
        <v>0.000161960075200833</v>
      </c>
      <c r="AS92" s="0" t="n">
        <v>0.602316328137742</v>
      </c>
      <c r="AT92" s="0" t="n">
        <v>0.282645201516332</v>
      </c>
      <c r="AU92" s="3" t="n">
        <v>0.0311026201524507</v>
      </c>
      <c r="AV92" s="0" t="n">
        <v>0.176987833691287</v>
      </c>
      <c r="AW92" s="0" t="n">
        <v>0.149061027403587</v>
      </c>
      <c r="AZ92" s="0" t="n">
        <v>0.203914545367666</v>
      </c>
      <c r="BA92" s="0" t="n">
        <v>0.181314545367666</v>
      </c>
      <c r="BC92" s="0" t="n">
        <v>0.131561554163398</v>
      </c>
      <c r="BD92" s="0" t="n">
        <v>0.108961554163398</v>
      </c>
      <c r="BE92" s="0" t="n">
        <v>0.0815854800674767</v>
      </c>
      <c r="BF92" s="3" t="n">
        <v>0.0363854800674767</v>
      </c>
      <c r="BG92" s="0" t="n">
        <v>0.0434886223631209</v>
      </c>
      <c r="BH92" s="0" t="n">
        <f aca="false">M92/BG92</f>
        <v>0.956994774412063</v>
      </c>
      <c r="BI92" s="0" t="n">
        <v>0.268589714801426</v>
      </c>
      <c r="BJ92" s="0" t="n">
        <v>0.642649924595038</v>
      </c>
      <c r="BK92" s="0" t="n">
        <v>0.159671783582838</v>
      </c>
      <c r="BL92" s="0" t="n">
        <v>0.171661027403587</v>
      </c>
      <c r="BM92" s="0" t="n">
        <v>0.149061027403587</v>
      </c>
      <c r="BN92" s="0" t="e">
        <f aca="false">#REF!/#REF!</f>
        <v>#REF!</v>
      </c>
      <c r="BO92" s="0" t="e">
        <f aca="false">BN92-0.0226</f>
        <v>#REF!</v>
      </c>
    </row>
    <row r="93" customFormat="false" ht="12.8" hidden="false" customHeight="false" outlineLevel="0" collapsed="false">
      <c r="A93" s="0" t="s">
        <v>146</v>
      </c>
      <c r="B93" s="0" t="s">
        <v>111</v>
      </c>
      <c r="C93" s="0" t="s">
        <v>59</v>
      </c>
      <c r="D93" s="0" t="s">
        <v>52</v>
      </c>
      <c r="E93" s="0" t="n">
        <v>0.2061</v>
      </c>
      <c r="F93" s="0" t="n">
        <v>2.1435</v>
      </c>
      <c r="G93" s="0" t="n">
        <v>316</v>
      </c>
      <c r="H93" s="0" t="n">
        <v>274</v>
      </c>
      <c r="I93" s="0" t="s">
        <v>53</v>
      </c>
      <c r="J93" s="0" t="n">
        <v>0</v>
      </c>
      <c r="K93" s="0" t="n">
        <v>0.0832241</v>
      </c>
      <c r="L93" s="0" t="n">
        <v>0.0121930212283599</v>
      </c>
      <c r="M93" s="1" t="n">
        <v>0.041230576268096</v>
      </c>
      <c r="N93" s="0" t="n">
        <v>0.243035880922888</v>
      </c>
      <c r="O93" s="0" t="n">
        <v>0.248306806230782</v>
      </c>
      <c r="P93" s="0" t="n">
        <v>0.209054784014932</v>
      </c>
      <c r="Q93" s="0" t="n">
        <v>0.212406906792614</v>
      </c>
      <c r="R93" s="11" t="n">
        <v>0.105895043653</v>
      </c>
      <c r="S93" s="11" t="n">
        <v>0.0937020224246401</v>
      </c>
      <c r="T93" s="0" t="n">
        <v>0.000192428953436</v>
      </c>
      <c r="U93" s="11" t="n">
        <v>0.000229563610796</v>
      </c>
      <c r="V93" s="11" t="n">
        <v>0.000209964209932</v>
      </c>
      <c r="Z93" s="1"/>
      <c r="AA93" s="1"/>
      <c r="AB93" s="11"/>
      <c r="AJ93" s="0" t="n">
        <v>1.8185010613347</v>
      </c>
      <c r="AK93" s="0" t="n">
        <v>0.000247098867292</v>
      </c>
      <c r="AL93" s="0" t="n">
        <f aca="false">AK93-0.00003713465736</f>
        <v>0.000209964209932</v>
      </c>
      <c r="AM93" s="0" t="n">
        <v>0.870166536360221</v>
      </c>
      <c r="AN93" s="0" t="n">
        <v>0.152486504854371</v>
      </c>
      <c r="AO93" s="0" t="n">
        <v>0.000191454379325</v>
      </c>
      <c r="AP93" s="0" t="n">
        <v>1.84703224754143</v>
      </c>
      <c r="AQ93" s="0" t="n">
        <v>0.000247098867292</v>
      </c>
      <c r="AR93" s="0" t="n">
        <f aca="false">AQ93-0.00003713465736</f>
        <v>0.000209964209932</v>
      </c>
      <c r="AS93" s="0" t="n">
        <v>0.870166536360221</v>
      </c>
      <c r="AT93" s="0" t="n">
        <v>0.282204161057902</v>
      </c>
      <c r="AU93" s="3" t="n">
        <v>0.070479544000366</v>
      </c>
      <c r="AV93" s="0" t="n">
        <v>0.151555755333522</v>
      </c>
      <c r="AW93" s="0" t="n">
        <v>0</v>
      </c>
      <c r="AZ93" s="0" t="n">
        <v>0.347257004973677</v>
      </c>
      <c r="BA93" s="0" t="n">
        <v>0.326557004973677</v>
      </c>
      <c r="BC93" s="0" t="n">
        <v>0.229754784014932</v>
      </c>
      <c r="BD93" s="0" t="n">
        <v>0.209054784014932</v>
      </c>
      <c r="BE93" s="0" t="n">
        <v>0.116426586557995</v>
      </c>
      <c r="BF93" s="3" t="n">
        <v>0.075026586557995</v>
      </c>
      <c r="BG93" s="0" t="n">
        <v>0.0476646162417879</v>
      </c>
      <c r="BH93" s="0" t="n">
        <f aca="false">M93/BG93</f>
        <v>0.865014333881259</v>
      </c>
      <c r="BI93" s="0" t="n">
        <v>0.00838177876450784</v>
      </c>
      <c r="BJ93" s="0" t="n">
        <v>0.518086170958629</v>
      </c>
      <c r="BK93" s="0" t="n">
        <v>0</v>
      </c>
      <c r="BL93" s="0" t="n">
        <v>0</v>
      </c>
      <c r="BM93" s="0" t="n">
        <v>0</v>
      </c>
      <c r="BN93" s="0" t="e">
        <f aca="false">#REF!/#REF!</f>
        <v>#REF!</v>
      </c>
      <c r="BO93" s="0" t="n">
        <v>0</v>
      </c>
    </row>
    <row r="94" customFormat="false" ht="12.8" hidden="false" customHeight="false" outlineLevel="0" collapsed="false">
      <c r="A94" s="0" t="s">
        <v>147</v>
      </c>
      <c r="B94" s="0" t="s">
        <v>111</v>
      </c>
      <c r="C94" s="0" t="s">
        <v>59</v>
      </c>
      <c r="D94" s="0" t="s">
        <v>52</v>
      </c>
      <c r="E94" s="0" t="n">
        <v>0.3635</v>
      </c>
      <c r="F94" s="0" t="n">
        <v>3.703</v>
      </c>
      <c r="G94" s="0" t="n">
        <v>806</v>
      </c>
      <c r="H94" s="0" t="n">
        <v>759</v>
      </c>
      <c r="I94" s="0" t="s">
        <v>55</v>
      </c>
      <c r="J94" s="0" t="n">
        <v>0</v>
      </c>
      <c r="K94" s="0" t="n">
        <v>0.0715897</v>
      </c>
      <c r="L94" s="0" t="n">
        <v>0.0312348189463843</v>
      </c>
      <c r="M94" s="1" t="n">
        <v>0.0355629581068379</v>
      </c>
      <c r="N94" s="0" t="n">
        <v>0.510849237325526</v>
      </c>
      <c r="O94" s="0" t="n">
        <v>0.378658646729077</v>
      </c>
      <c r="P94" s="0" t="n">
        <v>0.258878109158644</v>
      </c>
      <c r="Q94" s="0" t="n">
        <v>0.494163188223327</v>
      </c>
      <c r="R94" s="11" t="n">
        <v>0.324062342032</v>
      </c>
      <c r="S94" s="11" t="n">
        <v>0.292827523085616</v>
      </c>
      <c r="T94" s="0" t="n">
        <v>0.0001600916353425</v>
      </c>
      <c r="U94" s="11" t="n">
        <v>0.0001972262927025</v>
      </c>
      <c r="V94" s="11" t="n">
        <v>0.000276702921807</v>
      </c>
      <c r="Z94" s="1"/>
      <c r="AA94" s="1"/>
      <c r="AB94" s="11"/>
      <c r="AJ94" s="0" t="n">
        <v>4.29807747866106</v>
      </c>
      <c r="AK94" s="0" t="n">
        <v>0.0004118686400985</v>
      </c>
      <c r="AL94" s="0" t="n">
        <f aca="false">AK94-0.00003713465736</f>
        <v>0.0003747339827385</v>
      </c>
      <c r="AM94" s="0" t="n">
        <v>0.633676198092919</v>
      </c>
      <c r="AN94" s="0" t="n">
        <v>5.31483898088534E-059</v>
      </c>
      <c r="AO94" s="0" t="n">
        <v>0.000155189526023</v>
      </c>
      <c r="AP94" s="0" t="n">
        <v>2.78228707091475</v>
      </c>
      <c r="AQ94" s="0" t="n">
        <v>0.000313837579167</v>
      </c>
      <c r="AR94" s="0" t="n">
        <f aca="false">AQ94-0.00003713465736</f>
        <v>0.000276702921807</v>
      </c>
      <c r="AS94" s="0" t="n">
        <v>1.06901270704194</v>
      </c>
      <c r="AT94" s="0" t="n">
        <v>2.841611376875E-033</v>
      </c>
      <c r="AU94" s="3" t="n">
        <v>0.161673539488063</v>
      </c>
      <c r="AV94" s="0" t="n">
        <v>1.98134445453E-008</v>
      </c>
      <c r="AW94" s="0" t="n">
        <v>0</v>
      </c>
      <c r="AZ94" s="0" t="n">
        <v>0.293100504252169</v>
      </c>
      <c r="BA94" s="0" t="n">
        <v>0.272400504252169</v>
      </c>
      <c r="BC94" s="0" t="n">
        <v>0.279578109158644</v>
      </c>
      <c r="BD94" s="0" t="n">
        <v>0.258878109158644</v>
      </c>
      <c r="BE94" s="0" t="n">
        <v>0.179180818574505</v>
      </c>
      <c r="BF94" s="3" t="n">
        <v>0.137780818574505</v>
      </c>
      <c r="BG94" s="0" t="n">
        <v>0.0604321611743269</v>
      </c>
      <c r="BH94" s="0" t="n">
        <f aca="false">M94/BG94</f>
        <v>0.588477350731351</v>
      </c>
      <c r="BI94" s="0" t="n">
        <v>2.13772316125687E-058</v>
      </c>
      <c r="BJ94" s="0" t="n">
        <v>0.667509145710303</v>
      </c>
      <c r="BK94" s="0" t="n">
        <v>0</v>
      </c>
      <c r="BL94" s="0" t="n">
        <v>0</v>
      </c>
      <c r="BM94" s="0" t="n">
        <v>0</v>
      </c>
      <c r="BN94" s="0" t="e">
        <f aca="false">#REF!/#REF!</f>
        <v>#REF!</v>
      </c>
      <c r="BO94" s="0" t="n">
        <v>0</v>
      </c>
    </row>
    <row r="95" customFormat="false" ht="12.8" hidden="false" customHeight="false" outlineLevel="0" collapsed="false">
      <c r="A95" s="0" t="s">
        <v>148</v>
      </c>
      <c r="B95" s="0" t="s">
        <v>111</v>
      </c>
      <c r="C95" s="0" t="s">
        <v>51</v>
      </c>
      <c r="D95" s="0" t="s">
        <v>52</v>
      </c>
      <c r="E95" s="0" t="n">
        <v>0.2629</v>
      </c>
      <c r="F95" s="0" t="n">
        <v>2.668</v>
      </c>
      <c r="G95" s="0" t="n">
        <v>170</v>
      </c>
      <c r="H95" s="0" t="n">
        <v>126</v>
      </c>
      <c r="I95" s="0" t="s">
        <v>53</v>
      </c>
      <c r="J95" s="0" t="n">
        <v>0.0368605852</v>
      </c>
      <c r="K95" s="0" t="n">
        <v>0.104894</v>
      </c>
      <c r="L95" s="0" t="n">
        <v>0.00859617208093164</v>
      </c>
      <c r="M95" s="1" t="n">
        <v>0.0476216072371824</v>
      </c>
      <c r="N95" s="0" t="n">
        <v>0.255546575542305</v>
      </c>
      <c r="O95" s="0" t="n">
        <v>0.216348206197306</v>
      </c>
      <c r="P95" s="0" t="n">
        <v>0.182113580109744</v>
      </c>
      <c r="Q95" s="0" t="n">
        <v>0.251860211126387</v>
      </c>
      <c r="R95" s="11" t="n">
        <v>0.077058224138</v>
      </c>
      <c r="S95" s="11" t="n">
        <v>0.0684620520570684</v>
      </c>
      <c r="T95" s="0" t="n">
        <v>0.000173540392168333</v>
      </c>
      <c r="U95" s="11" t="n">
        <v>0.000221867822355</v>
      </c>
      <c r="V95" s="11" t="n">
        <v>0.000310872707318833</v>
      </c>
      <c r="Z95" s="1"/>
      <c r="AA95" s="1"/>
      <c r="AB95" s="11"/>
      <c r="AJ95" s="0" t="n">
        <v>0.819815788720284</v>
      </c>
      <c r="AK95" s="0" t="n">
        <v>0.0003592001375055</v>
      </c>
      <c r="AL95" s="0" t="n">
        <f aca="false">AK95-0.0000483274301866667</f>
        <v>0.000310872707318833</v>
      </c>
      <c r="AM95" s="0" t="n">
        <v>0.401810505886809</v>
      </c>
      <c r="AN95" s="0" t="n">
        <v>2.58909995263526E-005</v>
      </c>
      <c r="AO95" s="0" t="n">
        <v>0.000173540392168333</v>
      </c>
      <c r="AP95" s="0" t="n">
        <v>0.819815788720284</v>
      </c>
      <c r="AQ95" s="0" t="n">
        <v>0.0003592001375055</v>
      </c>
      <c r="AR95" s="0" t="n">
        <f aca="false">AQ95-0.0000483274301866667</f>
        <v>0.000310872707318833</v>
      </c>
      <c r="AS95" s="0" t="n">
        <v>0.401810505886809</v>
      </c>
      <c r="AT95" s="0" t="n">
        <v>5.17819990527052E-005</v>
      </c>
      <c r="AU95" s="3" t="n">
        <v>0.054160902876638</v>
      </c>
      <c r="AV95" s="0" t="n">
        <v>0.0246420611989554</v>
      </c>
      <c r="AW95" s="0" t="n">
        <v>0.087719433057773</v>
      </c>
      <c r="AZ95" s="0" t="n">
        <v>0.269360460525516</v>
      </c>
      <c r="BA95" s="0" t="n">
        <v>0.246760460525516</v>
      </c>
      <c r="BC95" s="0" t="n">
        <v>0.204713580109744</v>
      </c>
      <c r="BD95" s="0" t="n">
        <v>0.182113580109744</v>
      </c>
      <c r="BE95" s="0" t="n">
        <v>0.085993636468954</v>
      </c>
      <c r="BF95" s="3" t="n">
        <v>0.040793636468954</v>
      </c>
      <c r="BG95" s="0" t="n">
        <v>0.0617434313870916</v>
      </c>
      <c r="BH95" s="0" t="n">
        <f aca="false">M95/BG95</f>
        <v>0.771282161799942</v>
      </c>
      <c r="BI95" s="0" t="n">
        <v>9.11163789225991E-005</v>
      </c>
      <c r="BJ95" s="0" t="n">
        <v>0.490547930267417</v>
      </c>
      <c r="BK95" s="0" t="n">
        <v>0.0351735134964696</v>
      </c>
      <c r="BL95" s="0" t="n">
        <v>0.110319433057773</v>
      </c>
      <c r="BM95" s="0" t="n">
        <v>0.087719433057773</v>
      </c>
      <c r="BN95" s="0" t="e">
        <f aca="false">#REF!/#REF!</f>
        <v>#REF!</v>
      </c>
      <c r="BO95" s="0" t="e">
        <f aca="false">BN95-0.0226</f>
        <v>#REF!</v>
      </c>
    </row>
    <row r="96" customFormat="false" ht="12.8" hidden="false" customHeight="false" outlineLevel="0" collapsed="false">
      <c r="A96" s="0" t="s">
        <v>149</v>
      </c>
      <c r="B96" s="0" t="s">
        <v>111</v>
      </c>
      <c r="C96" s="0" t="s">
        <v>51</v>
      </c>
      <c r="D96" s="0" t="s">
        <v>52</v>
      </c>
      <c r="E96" s="0" t="n">
        <v>0.3394</v>
      </c>
      <c r="F96" s="0" t="n">
        <v>3.5453</v>
      </c>
      <c r="G96" s="0" t="n">
        <v>658</v>
      </c>
      <c r="H96" s="0" t="n">
        <v>601</v>
      </c>
      <c r="I96" s="0" t="s">
        <v>55</v>
      </c>
      <c r="J96" s="0" t="n">
        <v>0.0458919369</v>
      </c>
      <c r="K96" s="0" t="n">
        <v>0.1713852</v>
      </c>
      <c r="L96" s="0" t="n">
        <v>0.0330776922550708</v>
      </c>
      <c r="M96" s="1" t="n">
        <v>0.0320745315739192</v>
      </c>
      <c r="N96" s="0" t="n">
        <v>0.21187805676986</v>
      </c>
      <c r="O96" s="0" t="n">
        <v>0.347877844838226</v>
      </c>
      <c r="P96" s="0" t="n">
        <v>0.271855647376398</v>
      </c>
      <c r="Q96" s="0" t="n">
        <v>0.245781090672846</v>
      </c>
      <c r="R96" s="11" t="n">
        <v>0.217913701824</v>
      </c>
      <c r="S96" s="11" t="n">
        <v>0.184836009568929</v>
      </c>
      <c r="T96" s="0" t="n">
        <v>0.000126715046560833</v>
      </c>
      <c r="U96" s="11" t="n">
        <v>0.0001750424767475</v>
      </c>
      <c r="V96" s="11" t="n">
        <v>0.000206072484401833</v>
      </c>
      <c r="Z96" s="1"/>
      <c r="AA96" s="1"/>
      <c r="AB96" s="11"/>
      <c r="AJ96" s="0" t="n">
        <v>2.13362579099314</v>
      </c>
      <c r="AK96" s="0" t="n">
        <v>0.000263444973549</v>
      </c>
      <c r="AL96" s="0" t="n">
        <f aca="false">AK96-0.0000483274301866667</f>
        <v>0.000215117543362333</v>
      </c>
      <c r="AM96" s="0" t="n">
        <v>0.578332326558624</v>
      </c>
      <c r="AN96" s="0" t="n">
        <v>4.68631939004134E-017</v>
      </c>
      <c r="AO96" s="0" t="n">
        <v>0.000124924168870333</v>
      </c>
      <c r="AP96" s="0" t="n">
        <v>1.85977907203483</v>
      </c>
      <c r="AQ96" s="0" t="n">
        <v>0.0002543999145885</v>
      </c>
      <c r="AR96" s="0" t="n">
        <f aca="false">AQ96-0.0000483274301866667</f>
        <v>0.000206072484401833</v>
      </c>
      <c r="AS96" s="0" t="n">
        <v>0.685792378805222</v>
      </c>
      <c r="AT96" s="0" t="n">
        <v>2.258524E-014</v>
      </c>
      <c r="AU96" s="3" t="n">
        <v>0.082342020629439</v>
      </c>
      <c r="AV96" s="0" t="n">
        <v>0.180402180139785</v>
      </c>
      <c r="AW96" s="0" t="n">
        <v>0.11115726093576</v>
      </c>
      <c r="AZ96" s="0" t="n">
        <v>0.233523223204359</v>
      </c>
      <c r="BA96" s="0" t="n">
        <v>0.210923223204359</v>
      </c>
      <c r="BC96" s="0" t="n">
        <v>0.294455647376398</v>
      </c>
      <c r="BD96" s="0" t="n">
        <v>0.271855647376398</v>
      </c>
      <c r="BE96" s="0" t="n">
        <v>0.127273078752157</v>
      </c>
      <c r="BF96" s="3" t="n">
        <v>0.082073078752157</v>
      </c>
      <c r="BG96" s="0" t="n">
        <v>0.0444101580217437</v>
      </c>
      <c r="BH96" s="0" t="n">
        <f aca="false">M96/BG96</f>
        <v>0.722234123963602</v>
      </c>
      <c r="BI96" s="0" t="n">
        <v>2.51233662E-012</v>
      </c>
      <c r="BJ96" s="0" t="n">
        <v>0.43263683481757</v>
      </c>
      <c r="BK96" s="0" t="n">
        <v>0.0873854977699536</v>
      </c>
      <c r="BL96" s="0" t="n">
        <v>0.13375726093576</v>
      </c>
      <c r="BM96" s="0" t="n">
        <v>0.11115726093576</v>
      </c>
      <c r="BN96" s="0" t="e">
        <f aca="false">#REF!/#REF!</f>
        <v>#REF!</v>
      </c>
      <c r="BO96" s="0" t="e">
        <f aca="false">BN96-0.0226</f>
        <v>#REF!</v>
      </c>
    </row>
    <row r="97" customFormat="false" ht="12.8" hidden="false" customHeight="false" outlineLevel="0" collapsed="false">
      <c r="A97" s="0" t="s">
        <v>150</v>
      </c>
      <c r="B97" s="0" t="s">
        <v>111</v>
      </c>
      <c r="C97" s="0" t="s">
        <v>59</v>
      </c>
      <c r="D97" s="0" t="s">
        <v>52</v>
      </c>
      <c r="E97" s="0" t="n">
        <v>0.3223</v>
      </c>
      <c r="F97" s="0" t="n">
        <v>2.7873</v>
      </c>
      <c r="G97" s="0" t="n">
        <v>915</v>
      </c>
      <c r="H97" s="0" t="n">
        <v>850</v>
      </c>
      <c r="I97" s="0" t="s">
        <v>53</v>
      </c>
      <c r="J97" s="0" t="n">
        <v>0</v>
      </c>
      <c r="K97" s="0" t="n">
        <v>0.217209</v>
      </c>
      <c r="L97" s="0" t="n">
        <v>0.0355085096823676</v>
      </c>
      <c r="M97" s="1" t="n">
        <v>0.0295081148719004</v>
      </c>
      <c r="N97" s="0" t="n">
        <v>0.380937140819889</v>
      </c>
      <c r="O97" s="0" t="n">
        <v>0.290549765293364</v>
      </c>
      <c r="P97" s="0" t="n">
        <v>0.243459664901984</v>
      </c>
      <c r="Q97" s="0" t="n">
        <v>0.391695548411423</v>
      </c>
      <c r="R97" s="11" t="n">
        <v>0.222084903377</v>
      </c>
      <c r="S97" s="11" t="n">
        <v>0.186576393694632</v>
      </c>
      <c r="T97" s="0" t="n">
        <v>0.000119833877965</v>
      </c>
      <c r="U97" s="11" t="n">
        <v>0.000156968535325</v>
      </c>
      <c r="V97" s="11" t="n">
        <v>0.000158866923861</v>
      </c>
      <c r="Z97" s="1"/>
      <c r="AA97" s="1"/>
      <c r="AB97" s="11"/>
      <c r="AJ97" s="0" t="n">
        <v>1.46587339634092</v>
      </c>
      <c r="AK97" s="0" t="n">
        <v>0.0001960172399605</v>
      </c>
      <c r="AL97" s="0" t="n">
        <f aca="false">AK97-0.00003713465736</f>
        <v>0.0001588825826005</v>
      </c>
      <c r="AM97" s="0" t="n">
        <v>0.900553695129173</v>
      </c>
      <c r="AN97" s="0" t="n">
        <v>4.30246571161596E-015</v>
      </c>
      <c r="AO97" s="0" t="n">
        <v>0.000119833877965</v>
      </c>
      <c r="AP97" s="0" t="n">
        <v>1.46587339634092</v>
      </c>
      <c r="AQ97" s="0" t="n">
        <v>0.000196001581221</v>
      </c>
      <c r="AR97" s="0" t="n">
        <f aca="false">AQ97-0.00003713465736</f>
        <v>0.000158866923861</v>
      </c>
      <c r="AS97" s="0" t="n">
        <v>0.903777212337582</v>
      </c>
      <c r="AT97" s="0" t="n">
        <v>9.62264229583073E-015</v>
      </c>
      <c r="AU97" s="3" t="n">
        <v>0.075059501103389</v>
      </c>
      <c r="AV97" s="0" t="n">
        <v>1.244929794E-011</v>
      </c>
      <c r="AW97" s="0" t="n">
        <v>0</v>
      </c>
      <c r="AZ97" s="0" t="n">
        <v>0.369677537514759</v>
      </c>
      <c r="BA97" s="0" t="n">
        <v>0.348977537514759</v>
      </c>
      <c r="BC97" s="0" t="n">
        <v>0.264159664901984</v>
      </c>
      <c r="BD97" s="0" t="n">
        <v>0.243459664901984</v>
      </c>
      <c r="BE97" s="0" t="n">
        <v>0.137441419586567</v>
      </c>
      <c r="BF97" s="3" t="n">
        <v>0.096041419586567</v>
      </c>
      <c r="BG97" s="0" t="n">
        <v>0.0362646624509276</v>
      </c>
      <c r="BH97" s="0" t="n">
        <f aca="false">M97/BG97</f>
        <v>0.813687840382632</v>
      </c>
      <c r="BI97" s="0" t="n">
        <v>2.5261384127E-010</v>
      </c>
      <c r="BJ97" s="0" t="n">
        <v>0.525592962463481</v>
      </c>
      <c r="BK97" s="0" t="n">
        <v>0</v>
      </c>
      <c r="BL97" s="0" t="n">
        <v>0</v>
      </c>
      <c r="BM97" s="0" t="n">
        <v>0</v>
      </c>
      <c r="BN97" s="0" t="e">
        <f aca="false">#REF!/#REF!</f>
        <v>#REF!</v>
      </c>
      <c r="BO97" s="0" t="n">
        <v>0</v>
      </c>
    </row>
    <row r="98" customFormat="false" ht="12.8" hidden="false" customHeight="false" outlineLevel="0" collapsed="false">
      <c r="A98" s="0" t="s">
        <v>151</v>
      </c>
      <c r="B98" s="0" t="s">
        <v>111</v>
      </c>
      <c r="C98" s="0" t="s">
        <v>51</v>
      </c>
      <c r="D98" s="0" t="s">
        <v>52</v>
      </c>
      <c r="E98" s="0" t="n">
        <v>0.3428</v>
      </c>
      <c r="F98" s="0" t="n">
        <v>3.3095</v>
      </c>
      <c r="G98" s="0" t="n">
        <v>563</v>
      </c>
      <c r="H98" s="0" t="n">
        <v>511</v>
      </c>
      <c r="I98" s="0" t="s">
        <v>55</v>
      </c>
      <c r="J98" s="0" t="n">
        <v>0.0288284067</v>
      </c>
      <c r="K98" s="0" t="n">
        <v>0.1530304</v>
      </c>
      <c r="L98" s="0" t="n">
        <v>0.0284754795414613</v>
      </c>
      <c r="M98" s="1" t="n">
        <v>0.0382881089298692</v>
      </c>
      <c r="N98" s="0" t="n">
        <v>0.205809236778675</v>
      </c>
      <c r="O98" s="0" t="n">
        <v>0.293417500244362</v>
      </c>
      <c r="P98" s="0" t="n">
        <v>0.231187456960329</v>
      </c>
      <c r="Q98" s="0" t="n">
        <v>0.296400573345907</v>
      </c>
      <c r="R98" s="11" t="n">
        <v>0.219944771404</v>
      </c>
      <c r="S98" s="11" t="n">
        <v>0.191469291862539</v>
      </c>
      <c r="T98" s="0" t="n">
        <v>0.000178995242972833</v>
      </c>
      <c r="U98" s="11" t="n">
        <v>0.0002273226731595</v>
      </c>
      <c r="V98" s="11" t="n">
        <v>0.000243276567066833</v>
      </c>
      <c r="Z98" s="1"/>
      <c r="AA98" s="1"/>
      <c r="AB98" s="11"/>
      <c r="AJ98" s="0" t="n">
        <v>2.04209868943516</v>
      </c>
      <c r="AK98" s="0" t="n">
        <v>0.0003093443885635</v>
      </c>
      <c r="AL98" s="0" t="n">
        <f aca="false">AK98-0.0000483274301866667</f>
        <v>0.000261016958376833</v>
      </c>
      <c r="AM98" s="0" t="n">
        <v>0.685054427532903</v>
      </c>
      <c r="AN98" s="0" t="n">
        <v>1.2003566057E-010</v>
      </c>
      <c r="AO98" s="0" t="n">
        <v>0.000177758841204333</v>
      </c>
      <c r="AP98" s="0" t="n">
        <v>1.71841101062639</v>
      </c>
      <c r="AQ98" s="0" t="n">
        <v>0.0002916039972535</v>
      </c>
      <c r="AR98" s="0" t="n">
        <f aca="false">AQ98-0.0000483274301866667</f>
        <v>0.000243276567066833</v>
      </c>
      <c r="AS98" s="0" t="n">
        <v>0.790818173336531</v>
      </c>
      <c r="AT98" s="0" t="n">
        <v>8.337202376219E-008</v>
      </c>
      <c r="AU98" s="3" t="n">
        <v>0.097254464947905</v>
      </c>
      <c r="AV98" s="0" t="n">
        <v>0.00212074840596091</v>
      </c>
      <c r="AW98" s="0" t="n">
        <v>0.281589830804073</v>
      </c>
      <c r="AZ98" s="0" t="n">
        <v>0.193349101213002</v>
      </c>
      <c r="BA98" s="0" t="n">
        <v>0.170749101213002</v>
      </c>
      <c r="BC98" s="0" t="n">
        <v>0.253787456960329</v>
      </c>
      <c r="BD98" s="0" t="n">
        <v>0.231187456960329</v>
      </c>
      <c r="BE98" s="0" t="n">
        <v>0.161103782180884</v>
      </c>
      <c r="BF98" s="3" t="n">
        <v>0.115903782180884</v>
      </c>
      <c r="BG98" s="0" t="n">
        <v>0.0485722369410226</v>
      </c>
      <c r="BH98" s="0" t="n">
        <f aca="false">M98/BG98</f>
        <v>0.788271476488913</v>
      </c>
      <c r="BI98" s="0" t="n">
        <v>1.0979645287834E-007</v>
      </c>
      <c r="BJ98" s="0" t="n">
        <v>0.66245630916661</v>
      </c>
      <c r="BK98" s="0" t="n">
        <v>0.244261794953752</v>
      </c>
      <c r="BL98" s="0" t="n">
        <v>0.304189830804073</v>
      </c>
      <c r="BM98" s="0" t="n">
        <v>0.281589830804073</v>
      </c>
      <c r="BN98" s="0" t="e">
        <f aca="false">#REF!/#REF!</f>
        <v>#REF!</v>
      </c>
      <c r="BO98" s="0" t="e">
        <f aca="false">BN98-0.0226</f>
        <v>#REF!</v>
      </c>
    </row>
    <row r="99" customFormat="false" ht="12.8" hidden="false" customHeight="false" outlineLevel="0" collapsed="false">
      <c r="A99" s="0" t="s">
        <v>152</v>
      </c>
      <c r="B99" s="0" t="s">
        <v>111</v>
      </c>
      <c r="C99" s="0" t="s">
        <v>51</v>
      </c>
      <c r="D99" s="0" t="s">
        <v>52</v>
      </c>
      <c r="E99" s="0" t="n">
        <v>0.4278</v>
      </c>
      <c r="F99" s="0" t="n">
        <v>3.3178</v>
      </c>
      <c r="G99" s="0" t="n">
        <v>339</v>
      </c>
      <c r="H99" s="0" t="n">
        <v>294</v>
      </c>
      <c r="I99" s="0" t="s">
        <v>55</v>
      </c>
      <c r="J99" s="0" t="n">
        <v>0.030722376</v>
      </c>
      <c r="K99" s="0" t="n">
        <v>0.1435907</v>
      </c>
      <c r="L99" s="0" t="n">
        <v>0.0171447474760068</v>
      </c>
      <c r="M99" s="1" t="n">
        <v>0.040420040364501</v>
      </c>
      <c r="N99" s="0" t="n">
        <v>0.18179127609652</v>
      </c>
      <c r="O99" s="0" t="n">
        <v>0.281174176993549</v>
      </c>
      <c r="P99" s="0" t="n">
        <v>0.241620934707677</v>
      </c>
      <c r="Q99" s="0" t="n">
        <v>0.24342971174727</v>
      </c>
      <c r="R99" s="11" t="n">
        <v>0.134991893584</v>
      </c>
      <c r="S99" s="11" t="n">
        <v>0.117847146107993</v>
      </c>
      <c r="T99" s="0" t="n">
        <v>0.000167644077243333</v>
      </c>
      <c r="U99" s="11" t="n">
        <v>0.00021597150743</v>
      </c>
      <c r="V99" s="11" t="n">
        <v>0.000299738188043333</v>
      </c>
      <c r="Z99" s="1"/>
      <c r="AA99" s="1"/>
      <c r="AB99" s="11"/>
      <c r="AJ99" s="0" t="n">
        <v>3.04986421416102</v>
      </c>
      <c r="AK99" s="0" t="n">
        <v>0.00034806561823</v>
      </c>
      <c r="AL99" s="0" t="n">
        <f aca="false">AK99-0.0000483274301866667</f>
        <v>0.000299738188043333</v>
      </c>
      <c r="AM99" s="0" t="n">
        <v>0.70778510047394</v>
      </c>
      <c r="AN99" s="0" t="n">
        <v>2.8764200130178E-007</v>
      </c>
      <c r="AO99" s="0" t="n">
        <v>0.000167644077243333</v>
      </c>
      <c r="AP99" s="0" t="n">
        <v>3.04986421416102</v>
      </c>
      <c r="AQ99" s="0" t="n">
        <v>0.00034806561823</v>
      </c>
      <c r="AR99" s="0" t="n">
        <f aca="false">AQ99-0.0000483274301866667</f>
        <v>0.000299738188043333</v>
      </c>
      <c r="AS99" s="0" t="n">
        <v>0.70778510047394</v>
      </c>
      <c r="AT99" s="0" t="n">
        <v>5.7528400260355E-007</v>
      </c>
      <c r="AU99" s="3" t="n">
        <v>0.077243323208904</v>
      </c>
      <c r="AV99" s="0" t="n">
        <v>0.175942674230449</v>
      </c>
      <c r="AW99" s="0" t="n">
        <v>0.235947739120992</v>
      </c>
      <c r="AZ99" s="0" t="n">
        <v>0.208043235917756</v>
      </c>
      <c r="BA99" s="0" t="n">
        <v>0.185443235917756</v>
      </c>
      <c r="BC99" s="0" t="n">
        <v>0.264220934707677</v>
      </c>
      <c r="BD99" s="0" t="n">
        <v>0.241620934707677</v>
      </c>
      <c r="BE99" s="0" t="n">
        <v>0.118607041322185</v>
      </c>
      <c r="BF99" s="3" t="n">
        <v>0.073407041322185</v>
      </c>
      <c r="BG99" s="0" t="n">
        <v>0.0518178349398512</v>
      </c>
      <c r="BH99" s="0" t="n">
        <f aca="false">M99/BG99</f>
        <v>0.780041088390118</v>
      </c>
      <c r="BI99" s="0" t="n">
        <v>6.28634405122753E-006</v>
      </c>
      <c r="BJ99" s="0" t="n">
        <v>0.470450227371603</v>
      </c>
      <c r="BK99" s="0" t="n">
        <v>0.214893786384472</v>
      </c>
      <c r="BL99" s="0" t="n">
        <v>0.258547739120992</v>
      </c>
      <c r="BM99" s="0" t="n">
        <v>0.235947739120992</v>
      </c>
      <c r="BN99" s="0" t="e">
        <f aca="false">#REF!/#REF!</f>
        <v>#REF!</v>
      </c>
      <c r="BO99" s="0" t="e">
        <f aca="false">BN99-0.0226</f>
        <v>#REF!</v>
      </c>
    </row>
    <row r="100" customFormat="false" ht="12.8" hidden="false" customHeight="false" outlineLevel="0" collapsed="false">
      <c r="A100" s="0" t="s">
        <v>153</v>
      </c>
      <c r="B100" s="0" t="s">
        <v>111</v>
      </c>
      <c r="C100" s="0" t="s">
        <v>51</v>
      </c>
      <c r="D100" s="0" t="s">
        <v>52</v>
      </c>
      <c r="E100" s="0" t="n">
        <v>0.2931</v>
      </c>
      <c r="F100" s="0" t="n">
        <v>3.0245</v>
      </c>
      <c r="G100" s="0" t="n">
        <v>631</v>
      </c>
      <c r="H100" s="0" t="n">
        <v>580</v>
      </c>
      <c r="I100" s="0" t="s">
        <v>53</v>
      </c>
      <c r="J100" s="0" t="n">
        <v>0.0294099189</v>
      </c>
      <c r="K100" s="0" t="n">
        <v>0.116437</v>
      </c>
      <c r="L100" s="0" t="n">
        <v>0.0319069221866141</v>
      </c>
      <c r="M100" s="1" t="n">
        <v>0.0289267756501219</v>
      </c>
      <c r="N100" s="0" t="n">
        <v>0.402137356406862</v>
      </c>
      <c r="O100" s="0" t="n">
        <v>0.324143369352904</v>
      </c>
      <c r="P100" s="0" t="n">
        <v>0.261014042462573</v>
      </c>
      <c r="Q100" s="0" t="n">
        <v>0.372582459185462</v>
      </c>
      <c r="R100" s="11" t="n">
        <v>0.18043555175</v>
      </c>
      <c r="S100" s="11" t="n">
        <v>0.148528629563386</v>
      </c>
      <c r="T100" s="0" t="n">
        <v>0.000116927650338333</v>
      </c>
      <c r="U100" s="11" t="n">
        <v>0.000165255080525</v>
      </c>
      <c r="V100" s="11" t="n">
        <v>0.000155282875470333</v>
      </c>
      <c r="Z100" s="1"/>
      <c r="AA100" s="1"/>
      <c r="AB100" s="11"/>
      <c r="AJ100" s="0" t="n">
        <v>1.71307227684775</v>
      </c>
      <c r="AK100" s="0" t="n">
        <v>0.00020344100669</v>
      </c>
      <c r="AL100" s="0" t="n">
        <f aca="false">AK100-0.0000483274301866667</f>
        <v>0.000155113576503333</v>
      </c>
      <c r="AM100" s="0" t="n">
        <v>0.676480310102622</v>
      </c>
      <c r="AN100" s="0" t="n">
        <v>1.0097610632358E-007</v>
      </c>
      <c r="AO100" s="0" t="n">
        <v>0.000116927650338333</v>
      </c>
      <c r="AP100" s="0" t="n">
        <v>1.71307227684775</v>
      </c>
      <c r="AQ100" s="0" t="n">
        <v>0.000203610305657</v>
      </c>
      <c r="AR100" s="0" t="n">
        <f aca="false">AQ100-0.0000483274301866667</f>
        <v>0.000155282875470333</v>
      </c>
      <c r="AS100" s="0" t="n">
        <v>0.667571464217996</v>
      </c>
      <c r="AT100" s="0" t="n">
        <v>3.789141934838E-007</v>
      </c>
      <c r="AU100" s="3" t="n">
        <v>0.079039938707701</v>
      </c>
      <c r="AV100" s="0" t="n">
        <v>0.0754971579662026</v>
      </c>
      <c r="AW100" s="0" t="n">
        <v>0.147746736852566</v>
      </c>
      <c r="AZ100" s="0" t="n">
        <v>0.487336120318036</v>
      </c>
      <c r="BA100" s="0" t="n">
        <v>0.464736120318036</v>
      </c>
      <c r="BC100" s="0" t="n">
        <v>0.283614042462573</v>
      </c>
      <c r="BD100" s="0" t="n">
        <v>0.261014042462573</v>
      </c>
      <c r="BE100" s="0" t="n">
        <v>0.123575776987527</v>
      </c>
      <c r="BF100" s="3" t="n">
        <v>0.078375776987527</v>
      </c>
      <c r="BG100" s="0" t="n">
        <v>0.0379213949370745</v>
      </c>
      <c r="BH100" s="0" t="n">
        <f aca="false">M100/BG100</f>
        <v>0.762808849677656</v>
      </c>
      <c r="BI100" s="0" t="n">
        <v>1.6673168498E-010</v>
      </c>
      <c r="BJ100" s="0" t="n">
        <v>0.423091141063232</v>
      </c>
      <c r="BK100" s="0" t="n">
        <v>0.0276644805427268</v>
      </c>
      <c r="BL100" s="0" t="n">
        <v>0.170346736852566</v>
      </c>
      <c r="BM100" s="0" t="n">
        <v>0.147746736852566</v>
      </c>
      <c r="BN100" s="0" t="e">
        <f aca="false">#REF!/#REF!</f>
        <v>#REF!</v>
      </c>
      <c r="BO100" s="0" t="e">
        <f aca="false">BN100-0.0226</f>
        <v>#REF!</v>
      </c>
    </row>
    <row r="101" customFormat="false" ht="12.8" hidden="false" customHeight="false" outlineLevel="0" collapsed="false">
      <c r="A101" s="0" t="s">
        <v>154</v>
      </c>
      <c r="B101" s="0" t="s">
        <v>111</v>
      </c>
      <c r="C101" s="0" t="s">
        <v>51</v>
      </c>
      <c r="D101" s="0" t="s">
        <v>52</v>
      </c>
      <c r="E101" s="0" t="n">
        <v>0.38</v>
      </c>
      <c r="F101" s="0" t="n">
        <v>3.217</v>
      </c>
      <c r="G101" s="0" t="n">
        <v>798</v>
      </c>
      <c r="H101" s="0" t="n">
        <v>742</v>
      </c>
      <c r="I101" s="0" t="s">
        <v>53</v>
      </c>
      <c r="J101" s="0" t="n">
        <v>0.0458098017</v>
      </c>
      <c r="K101" s="0" t="n">
        <v>0.14421</v>
      </c>
      <c r="L101" s="0" t="n">
        <v>0.040364876869939</v>
      </c>
      <c r="M101" s="1" t="n">
        <v>0.028811438148043</v>
      </c>
      <c r="N101" s="0" t="n">
        <v>0.249064214156913</v>
      </c>
      <c r="O101" s="0" t="n">
        <v>0.275346474752588</v>
      </c>
      <c r="P101" s="0" t="n">
        <v>0.234397254417655</v>
      </c>
      <c r="Q101" s="0" t="n">
        <v>0.270229000164495</v>
      </c>
      <c r="R101" s="11" t="n">
        <v>0.238094322942</v>
      </c>
      <c r="S101" s="11" t="n">
        <v>0.197729446072061</v>
      </c>
      <c r="T101" s="0" t="n">
        <v>0.000124469160988333</v>
      </c>
      <c r="U101" s="11" t="n">
        <v>0.000172796591175</v>
      </c>
      <c r="V101" s="11" t="n">
        <v>0.000187550716402333</v>
      </c>
      <c r="Z101" s="1"/>
      <c r="AA101" s="1"/>
      <c r="AB101" s="11"/>
      <c r="AJ101" s="0" t="n">
        <v>4.55998783696164</v>
      </c>
      <c r="AK101" s="0" t="n">
        <v>0.0002347218812865</v>
      </c>
      <c r="AL101" s="0" t="n">
        <f aca="false">AK101-0.0000483274301866667</f>
        <v>0.000186394451099833</v>
      </c>
      <c r="AM101" s="0" t="n">
        <v>0.527554485627919</v>
      </c>
      <c r="AN101" s="0" t="n">
        <v>2.42664165349129E-018</v>
      </c>
      <c r="AO101" s="0" t="n">
        <v>0.000124469160988333</v>
      </c>
      <c r="AP101" s="0" t="n">
        <v>4.55998783696164</v>
      </c>
      <c r="AQ101" s="0" t="n">
        <v>0.000235878146589</v>
      </c>
      <c r="AR101" s="0" t="n">
        <f aca="false">AQ101-0.0000483274301866667</f>
        <v>0.000187550716402333</v>
      </c>
      <c r="AS101" s="0" t="n">
        <v>0.550523096039703</v>
      </c>
      <c r="AT101" s="0" t="n">
        <v>8.27934856149279E-018</v>
      </c>
      <c r="AU101" s="3" t="n">
        <v>0.088170505102787</v>
      </c>
      <c r="AV101" s="0" t="n">
        <v>0.00109042898545342</v>
      </c>
      <c r="AW101" s="0" t="n">
        <v>0.253231344850101</v>
      </c>
      <c r="AZ101" s="0" t="n">
        <v>0.364853752568997</v>
      </c>
      <c r="BA101" s="0" t="n">
        <v>0.342253752568997</v>
      </c>
      <c r="BC101" s="0" t="n">
        <v>0.256997254417655</v>
      </c>
      <c r="BD101" s="0" t="n">
        <v>0.234397254417655</v>
      </c>
      <c r="BE101" s="0" t="n">
        <v>0.145395920625096</v>
      </c>
      <c r="BF101" s="3" t="n">
        <v>0.100195920625096</v>
      </c>
      <c r="BG101" s="0" t="n">
        <v>0.0383574654171747</v>
      </c>
      <c r="BH101" s="0" t="n">
        <f aca="false">M101/BG101</f>
        <v>0.751129873538061</v>
      </c>
      <c r="BI101" s="0" t="n">
        <v>6.47412305086611E-015</v>
      </c>
      <c r="BJ101" s="0" t="n">
        <v>0.591102472647051</v>
      </c>
      <c r="BK101" s="0" t="n">
        <v>0.256247374197296</v>
      </c>
      <c r="BL101" s="0" t="n">
        <v>0.275831344850101</v>
      </c>
      <c r="BM101" s="0" t="n">
        <v>0.253231344850101</v>
      </c>
      <c r="BN101" s="0" t="e">
        <f aca="false">#REF!/#REF!</f>
        <v>#REF!</v>
      </c>
      <c r="BO101" s="0" t="e">
        <f aca="false">BN101-0.0226</f>
        <v>#REF!</v>
      </c>
    </row>
    <row r="102" customFormat="false" ht="12.8" hidden="false" customHeight="false" outlineLevel="0" collapsed="false">
      <c r="A102" s="0" t="s">
        <v>155</v>
      </c>
      <c r="B102" s="0" t="s">
        <v>111</v>
      </c>
      <c r="C102" s="0" t="s">
        <v>51</v>
      </c>
      <c r="D102" s="0" t="s">
        <v>52</v>
      </c>
      <c r="E102" s="0" t="n">
        <v>0.234</v>
      </c>
      <c r="F102" s="0" t="n">
        <v>2.4578</v>
      </c>
      <c r="G102" s="0" t="n">
        <v>496</v>
      </c>
      <c r="H102" s="0" t="n">
        <v>445</v>
      </c>
      <c r="I102" s="0" t="s">
        <v>53</v>
      </c>
      <c r="J102" s="0" t="n">
        <v>0.0222052392</v>
      </c>
      <c r="K102" s="0" t="n">
        <v>0.0920204</v>
      </c>
      <c r="L102" s="0" t="n">
        <v>0.0250915392130048</v>
      </c>
      <c r="M102" s="1" t="n">
        <v>0.0346082871990828</v>
      </c>
      <c r="N102" s="0" t="n">
        <v>0.292944480937596</v>
      </c>
      <c r="O102" s="0" t="n">
        <v>0.315122187406715</v>
      </c>
      <c r="P102" s="0" t="n">
        <v>0.229517455780092</v>
      </c>
      <c r="Q102" s="0" t="n">
        <v>0.287376691011153</v>
      </c>
      <c r="R102" s="11" t="n">
        <v>0.160280837238</v>
      </c>
      <c r="S102" s="11" t="n">
        <v>0.135189298024995</v>
      </c>
      <c r="T102" s="0" t="n">
        <v>0.000137991002030333</v>
      </c>
      <c r="U102" s="11" t="n">
        <v>0.000186318432217</v>
      </c>
      <c r="V102" s="11" t="n">
        <v>0.000188022176143333</v>
      </c>
      <c r="Z102" s="1"/>
      <c r="AA102" s="1"/>
      <c r="AB102" s="11"/>
      <c r="AJ102" s="0" t="n">
        <v>0.905330424629948</v>
      </c>
      <c r="AK102" s="0" t="n">
        <v>0.0002354404439915</v>
      </c>
      <c r="AL102" s="0" t="n">
        <f aca="false">AK102-0.0000483274301866667</f>
        <v>0.000187113013804833</v>
      </c>
      <c r="AM102" s="0" t="n">
        <v>0.300346254919415</v>
      </c>
      <c r="AN102" s="0" t="n">
        <v>1.4119297586375E-007</v>
      </c>
      <c r="AO102" s="0" t="n">
        <v>0.000136618163029333</v>
      </c>
      <c r="AP102" s="0" t="n">
        <v>0.947064691400835</v>
      </c>
      <c r="AQ102" s="0" t="n">
        <v>0.00023634960633</v>
      </c>
      <c r="AR102" s="0" t="n">
        <f aca="false">AQ102-0.0000483274301866667</f>
        <v>0.000188022176143333</v>
      </c>
      <c r="AS102" s="0" t="n">
        <v>0.380494293010971</v>
      </c>
      <c r="AT102" s="0" t="n">
        <v>1.1973735971811E-007</v>
      </c>
      <c r="AU102" s="3" t="n">
        <v>0.075232155514831</v>
      </c>
      <c r="AV102" s="0" t="n">
        <v>0.473800691065631</v>
      </c>
      <c r="AW102" s="0" t="n">
        <v>0.15706731552003</v>
      </c>
      <c r="AZ102" s="0" t="n">
        <v>0.41224506852862</v>
      </c>
      <c r="BA102" s="0" t="n">
        <v>0.38964506852862</v>
      </c>
      <c r="BC102" s="0" t="n">
        <v>0.252117455780092</v>
      </c>
      <c r="BD102" s="0" t="n">
        <v>0.229517455780092</v>
      </c>
      <c r="BE102" s="0" t="n">
        <v>0.120270565671595</v>
      </c>
      <c r="BF102" s="3" t="n">
        <v>0.075070565671595</v>
      </c>
      <c r="BG102" s="0" t="n">
        <v>0.0432481463605638</v>
      </c>
      <c r="BH102" s="0" t="n">
        <f aca="false">M102/BG102</f>
        <v>0.800225908193852</v>
      </c>
      <c r="BI102" s="0" t="n">
        <v>0.000150720989184074</v>
      </c>
      <c r="BJ102" s="0" t="n">
        <v>0.469367614949646</v>
      </c>
      <c r="BK102" s="0" t="n">
        <v>0.117764222844292</v>
      </c>
      <c r="BL102" s="0" t="n">
        <v>0.17966731552003</v>
      </c>
      <c r="BM102" s="0" t="n">
        <v>0.15706731552003</v>
      </c>
      <c r="BN102" s="0" t="e">
        <f aca="false">#REF!/#REF!</f>
        <v>#REF!</v>
      </c>
      <c r="BO102" s="0" t="e">
        <f aca="false">BN102-0.0226</f>
        <v>#REF!</v>
      </c>
    </row>
    <row r="103" customFormat="false" ht="12.8" hidden="false" customHeight="false" outlineLevel="0" collapsed="false">
      <c r="A103" s="0" t="s">
        <v>156</v>
      </c>
      <c r="B103" s="0" t="s">
        <v>111</v>
      </c>
      <c r="C103" s="0" t="s">
        <v>59</v>
      </c>
      <c r="D103" s="0" t="s">
        <v>52</v>
      </c>
      <c r="E103" s="0" t="n">
        <v>0.0356</v>
      </c>
      <c r="F103" s="0" t="n">
        <v>0.647</v>
      </c>
      <c r="G103" s="0" t="n">
        <v>37</v>
      </c>
      <c r="H103" s="0" t="n">
        <v>20</v>
      </c>
      <c r="I103" s="0" t="s">
        <v>53</v>
      </c>
      <c r="J103" s="0" t="n">
        <v>0</v>
      </c>
      <c r="K103" s="0" t="n">
        <v>0.0404472</v>
      </c>
      <c r="L103" s="0" t="n">
        <v>0.00143720731761647</v>
      </c>
      <c r="M103" s="1" t="n">
        <v>0.0517522886523915</v>
      </c>
      <c r="N103" s="0" t="n">
        <v>0.089947706261722</v>
      </c>
      <c r="O103" s="0" t="n">
        <v>0.127095656779575</v>
      </c>
      <c r="P103" s="0" t="n">
        <v>0.081900104202871</v>
      </c>
      <c r="Q103" s="0" t="n">
        <v>0.108852446307964</v>
      </c>
      <c r="R103" s="11" t="n">
        <v>0.007844858331</v>
      </c>
      <c r="S103" s="11" t="n">
        <v>0.00640765101338353</v>
      </c>
      <c r="T103" s="0" t="n">
        <v>0.000173606989684</v>
      </c>
      <c r="U103" s="11" t="n">
        <v>0.000210741647044</v>
      </c>
      <c r="V103" s="11" t="n">
        <v>0</v>
      </c>
      <c r="Z103" s="1"/>
      <c r="AA103" s="1"/>
      <c r="AB103" s="11"/>
      <c r="AJ103" s="0" t="n">
        <v>0</v>
      </c>
      <c r="AK103" s="0" t="n">
        <v>0</v>
      </c>
      <c r="AL103" s="0" t="n">
        <f aca="false">AK103-0.00003713465736</f>
        <v>-3.713465736E-005</v>
      </c>
      <c r="AM103" s="0" t="n">
        <v>100</v>
      </c>
      <c r="AN103" s="0" t="n">
        <v>0</v>
      </c>
      <c r="AO103" s="0" t="n">
        <v>0.000173606989684</v>
      </c>
      <c r="AP103" s="0" t="n">
        <v>100</v>
      </c>
      <c r="AQ103" s="0" t="n">
        <v>0</v>
      </c>
      <c r="AR103" s="0" t="n">
        <v>0</v>
      </c>
      <c r="AS103" s="0" t="n">
        <v>0</v>
      </c>
      <c r="AT103" s="0" t="n">
        <v>0</v>
      </c>
      <c r="AU103" s="3" t="n">
        <v>0.0111877761191525</v>
      </c>
      <c r="AV103" s="0" t="n">
        <v>0.0777849662938712</v>
      </c>
      <c r="AW103" s="0" t="n">
        <v>0</v>
      </c>
      <c r="AZ103" s="0" t="n">
        <v>0.133683161923232</v>
      </c>
      <c r="BA103" s="0" t="n">
        <v>0.112983161923232</v>
      </c>
      <c r="BC103" s="0" t="n">
        <v>0.102600104202871</v>
      </c>
      <c r="BD103" s="0" t="n">
        <v>0.081900104202871</v>
      </c>
      <c r="BE103" s="0" t="n">
        <v>0.0647931471102858</v>
      </c>
      <c r="BF103" s="3" t="n">
        <v>0.0233931471102858</v>
      </c>
      <c r="BG103" s="0" t="n">
        <v>0.054042752079868</v>
      </c>
      <c r="BH103" s="0" t="n">
        <f aca="false">M103/BG103</f>
        <v>0.957617564995737</v>
      </c>
      <c r="BI103" s="0" t="n">
        <v>0.401816286914378</v>
      </c>
      <c r="BJ103" s="0" t="n">
        <v>0.644164873506774</v>
      </c>
      <c r="BK103" s="0" t="n">
        <v>0</v>
      </c>
      <c r="BL103" s="0" t="n">
        <v>0</v>
      </c>
      <c r="BM103" s="0" t="n">
        <v>0</v>
      </c>
      <c r="BN103" s="0" t="e">
        <f aca="false">#REF!/#REF!</f>
        <v>#REF!</v>
      </c>
      <c r="BO103" s="0" t="n">
        <v>0</v>
      </c>
    </row>
    <row r="104" customFormat="false" ht="12.8" hidden="false" customHeight="false" outlineLevel="0" collapsed="false">
      <c r="A104" s="0" t="s">
        <v>157</v>
      </c>
      <c r="B104" s="0" t="s">
        <v>111</v>
      </c>
      <c r="C104" s="0" t="s">
        <v>51</v>
      </c>
      <c r="D104" s="0" t="s">
        <v>52</v>
      </c>
      <c r="E104" s="0" t="n">
        <v>0.2188</v>
      </c>
      <c r="F104" s="0" t="n">
        <v>2.4668</v>
      </c>
      <c r="G104" s="0" t="n">
        <v>342</v>
      </c>
      <c r="H104" s="0" t="n">
        <v>298</v>
      </c>
      <c r="I104" s="0" t="s">
        <v>55</v>
      </c>
      <c r="J104" s="0" t="n">
        <v>0.0253353398</v>
      </c>
      <c r="K104" s="0" t="n">
        <v>0.06881683</v>
      </c>
      <c r="L104" s="0" t="n">
        <v>0.0171962861078715</v>
      </c>
      <c r="M104" s="1" t="n">
        <v>0.033520016262544</v>
      </c>
      <c r="N104" s="0" t="n">
        <v>0.402327599523616</v>
      </c>
      <c r="O104" s="0" t="n">
        <v>0.283887596031355</v>
      </c>
      <c r="P104" s="0" t="n">
        <v>0.192851535161306</v>
      </c>
      <c r="Q104" s="0" t="n">
        <v>0.471396577402724</v>
      </c>
      <c r="R104" s="11" t="n">
        <v>0.122244781714</v>
      </c>
      <c r="S104" s="11" t="n">
        <v>0.105048495606129</v>
      </c>
      <c r="T104" s="0" t="n">
        <v>0.000125348164507333</v>
      </c>
      <c r="U104" s="11" t="n">
        <v>0.000173675594694</v>
      </c>
      <c r="V104" s="11" t="n">
        <v>0.000218697784460333</v>
      </c>
      <c r="Z104" s="1"/>
      <c r="AA104" s="1"/>
      <c r="AB104" s="11"/>
      <c r="AJ104" s="0" t="n">
        <v>1.61175750890308</v>
      </c>
      <c r="AK104" s="0" t="n">
        <v>0.000267036297669</v>
      </c>
      <c r="AL104" s="0" t="n">
        <f aca="false">AK104-0.0000483274301866667</f>
        <v>0.000218708867482333</v>
      </c>
      <c r="AM104" s="0" t="n">
        <v>0.627565969583781</v>
      </c>
      <c r="AN104" s="0" t="n">
        <v>1.5951474444E-010</v>
      </c>
      <c r="AO104" s="0" t="n">
        <v>0.000123251831324333</v>
      </c>
      <c r="AP104" s="0" t="n">
        <v>1.53702539037512</v>
      </c>
      <c r="AQ104" s="0" t="n">
        <v>0.000267025214647</v>
      </c>
      <c r="AR104" s="0" t="n">
        <f aca="false">AQ104-0.0000483274301866667</f>
        <v>0.000218697784460333</v>
      </c>
      <c r="AS104" s="0" t="n">
        <v>0.490622603623981</v>
      </c>
      <c r="AT104" s="0" t="n">
        <v>1.6558228393E-010</v>
      </c>
      <c r="AU104" s="3" t="n">
        <v>0.069377405026033</v>
      </c>
      <c r="AV104" s="0" t="n">
        <v>0.00415418811498482</v>
      </c>
      <c r="AW104" s="0" t="n">
        <v>0.197948987592566</v>
      </c>
      <c r="AZ104" s="0" t="n">
        <v>0.391058824563203</v>
      </c>
      <c r="BA104" s="0" t="n">
        <v>0.368458824563203</v>
      </c>
      <c r="BC104" s="0" t="n">
        <v>0.215451535161306</v>
      </c>
      <c r="BD104" s="0" t="n">
        <v>0.192851535161306</v>
      </c>
      <c r="BE104" s="0" t="n">
        <v>0.104939524332834</v>
      </c>
      <c r="BF104" s="3" t="n">
        <v>0.059739524332834</v>
      </c>
      <c r="BG104" s="0" t="n">
        <v>0.0481599236008061</v>
      </c>
      <c r="BH104" s="0" t="n">
        <f aca="false">M104/BG104</f>
        <v>0.696014730845274</v>
      </c>
      <c r="BI104" s="0" t="n">
        <v>3.432113582615E-008</v>
      </c>
      <c r="BJ104" s="0" t="n">
        <v>0.519945530804649</v>
      </c>
      <c r="BK104" s="0" t="n">
        <v>0.214833684170906</v>
      </c>
      <c r="BL104" s="0" t="n">
        <v>0.220548987592566</v>
      </c>
      <c r="BM104" s="0" t="n">
        <v>0.197948987592566</v>
      </c>
      <c r="BN104" s="0" t="e">
        <f aca="false">#REF!/#REF!</f>
        <v>#REF!</v>
      </c>
      <c r="BO104" s="0" t="e">
        <f aca="false">BN104-0.0226</f>
        <v>#REF!</v>
      </c>
    </row>
    <row r="105" customFormat="false" ht="12.8" hidden="false" customHeight="false" outlineLevel="0" collapsed="false">
      <c r="A105" s="0" t="s">
        <v>158</v>
      </c>
      <c r="B105" s="0" t="s">
        <v>111</v>
      </c>
      <c r="C105" s="0" t="s">
        <v>51</v>
      </c>
      <c r="D105" s="0" t="s">
        <v>52</v>
      </c>
      <c r="E105" s="0" t="n">
        <v>0.3594</v>
      </c>
      <c r="F105" s="0" t="n">
        <v>3.7295</v>
      </c>
      <c r="G105" s="0" t="n">
        <v>438</v>
      </c>
      <c r="H105" s="0" t="n">
        <v>402</v>
      </c>
      <c r="I105" s="0" t="s">
        <v>53</v>
      </c>
      <c r="J105" s="0" t="n">
        <v>0.0542979576</v>
      </c>
      <c r="K105" s="0" t="n">
        <v>0.362304</v>
      </c>
      <c r="L105" s="0" t="n">
        <v>0.0221594421404591</v>
      </c>
      <c r="M105" s="1" t="n">
        <v>0.0301361743290538</v>
      </c>
      <c r="N105" s="0" t="n">
        <v>0.137840966468877</v>
      </c>
      <c r="O105" s="0" t="n">
        <v>0.295319252090738</v>
      </c>
      <c r="P105" s="0" t="n">
        <v>0.230206403938822</v>
      </c>
      <c r="Q105" s="0" t="n">
        <v>0.153463188526353</v>
      </c>
      <c r="R105" s="11" t="n">
        <v>0.144838914444</v>
      </c>
      <c r="S105" s="11" t="n">
        <v>0.122679472303541</v>
      </c>
      <c r="T105" s="0" t="n">
        <v>0.000119311437265333</v>
      </c>
      <c r="U105" s="11" t="n">
        <v>0.000167638867452</v>
      </c>
      <c r="V105" s="11" t="n">
        <v>0.000180497105168333</v>
      </c>
      <c r="Z105" s="1"/>
      <c r="AA105" s="1"/>
      <c r="AB105" s="11"/>
      <c r="AJ105" s="0" t="n">
        <v>1.58753287537805</v>
      </c>
      <c r="AK105" s="0" t="n">
        <v>0.000252322508606</v>
      </c>
      <c r="AL105" s="0" t="n">
        <f aca="false">AK105-0.0000483274301866667</f>
        <v>0.000203995078419333</v>
      </c>
      <c r="AM105" s="0" t="n">
        <v>0.730622524373583</v>
      </c>
      <c r="AN105" s="0" t="n">
        <v>6.49053702012042E-016</v>
      </c>
      <c r="AO105" s="0" t="n">
        <v>0.000114739050022333</v>
      </c>
      <c r="AP105" s="0" t="n">
        <v>1.4477784235294</v>
      </c>
      <c r="AQ105" s="0" t="n">
        <v>0.000228824535355</v>
      </c>
      <c r="AR105" s="0" t="n">
        <f aca="false">AQ105-0.0000483274301866667</f>
        <v>0.000180497105168333</v>
      </c>
      <c r="AS105" s="0" t="n">
        <v>0.811179897047993</v>
      </c>
      <c r="AT105" s="0" t="n">
        <v>1.1469946011E-009</v>
      </c>
      <c r="AU105" s="3" t="n">
        <v>0.090136799508503</v>
      </c>
      <c r="AV105" s="0" t="n">
        <v>0.300752173128462</v>
      </c>
      <c r="AW105" s="0" t="n">
        <v>0.307667939462413</v>
      </c>
      <c r="AZ105" s="0" t="n">
        <v>0.202088109129898</v>
      </c>
      <c r="BA105" s="0" t="n">
        <v>0.179488109129898</v>
      </c>
      <c r="BC105" s="0" t="n">
        <v>0.252806403938822</v>
      </c>
      <c r="BD105" s="0" t="n">
        <v>0.230206403938822</v>
      </c>
      <c r="BE105" s="0" t="n">
        <v>0.137677567121944</v>
      </c>
      <c r="BF105" s="3" t="n">
        <v>0.092477567121944</v>
      </c>
      <c r="BG105" s="0" t="n">
        <v>0.0421295853066268</v>
      </c>
      <c r="BH105" s="0" t="n">
        <f aca="false">M105/BG105</f>
        <v>0.715320934438762</v>
      </c>
      <c r="BI105" s="0" t="n">
        <v>1.9364605798E-010</v>
      </c>
      <c r="BJ105" s="0" t="n">
        <v>0.566530324826</v>
      </c>
      <c r="BK105" s="0" t="n">
        <v>0.317613488750691</v>
      </c>
      <c r="BL105" s="0" t="n">
        <v>0.330267939462413</v>
      </c>
      <c r="BM105" s="0" t="n">
        <v>0.307667939462413</v>
      </c>
      <c r="BN105" s="0" t="e">
        <f aca="false">#REF!/#REF!</f>
        <v>#REF!</v>
      </c>
      <c r="BO105" s="0" t="e">
        <f aca="false">BN105-0.0226</f>
        <v>#REF!</v>
      </c>
    </row>
    <row r="106" customFormat="false" ht="12.8" hidden="false" customHeight="false" outlineLevel="0" collapsed="false">
      <c r="A106" s="0" t="s">
        <v>159</v>
      </c>
      <c r="B106" s="0" t="s">
        <v>111</v>
      </c>
      <c r="C106" s="0" t="s">
        <v>51</v>
      </c>
      <c r="D106" s="0" t="s">
        <v>52</v>
      </c>
      <c r="E106" s="0" t="n">
        <v>0.299</v>
      </c>
      <c r="F106" s="0" t="n">
        <v>2.7988</v>
      </c>
      <c r="G106" s="0" t="n">
        <v>138</v>
      </c>
      <c r="H106" s="0" t="n">
        <v>104</v>
      </c>
      <c r="I106" s="0" t="s">
        <v>53</v>
      </c>
      <c r="J106" s="0" t="n">
        <v>0.0547747202</v>
      </c>
      <c r="K106" s="0" t="n">
        <v>0.0541111</v>
      </c>
      <c r="L106" s="0" t="n">
        <v>0.00697990756864419</v>
      </c>
      <c r="M106" s="1" t="n">
        <v>0.0452133305175662</v>
      </c>
      <c r="N106" s="0" t="n">
        <v>0.195842118518343</v>
      </c>
      <c r="O106" s="0" t="n">
        <v>0.193100974871651</v>
      </c>
      <c r="P106" s="0" t="n">
        <v>0.151945225009669</v>
      </c>
      <c r="Q106" s="0" t="n">
        <v>0.196859146850596</v>
      </c>
      <c r="R106" s="11" t="n">
        <v>0.0618188781344</v>
      </c>
      <c r="S106" s="11" t="n">
        <v>0.0548389705657558</v>
      </c>
      <c r="T106" s="0" t="n">
        <v>0.000179403325927333</v>
      </c>
      <c r="U106" s="11" t="n">
        <v>0.000227730756114</v>
      </c>
      <c r="V106" s="11" t="n">
        <v>0.000429183823850333</v>
      </c>
      <c r="Z106" s="1"/>
      <c r="AA106" s="1"/>
      <c r="AB106" s="11"/>
      <c r="AJ106" s="0" t="n">
        <v>0.75855622681127</v>
      </c>
      <c r="AK106" s="0" t="n">
        <v>0.000477511254037</v>
      </c>
      <c r="AL106" s="0" t="n">
        <f aca="false">AK106-0.0000483274301866667</f>
        <v>0.000429183823850333</v>
      </c>
      <c r="AM106" s="0" t="n">
        <v>0.0608313688969901</v>
      </c>
      <c r="AN106" s="0" t="n">
        <v>1.12266852122477E-006</v>
      </c>
      <c r="AO106" s="0" t="n">
        <v>0.000179403325927333</v>
      </c>
      <c r="AP106" s="0" t="n">
        <v>0.75855622681127</v>
      </c>
      <c r="AQ106" s="0" t="n">
        <v>0.000477511254037</v>
      </c>
      <c r="AR106" s="0" t="n">
        <f aca="false">AQ106-0.0000483274301866667</f>
        <v>0.000429183823850333</v>
      </c>
      <c r="AS106" s="0" t="n">
        <v>0.0608313688969901</v>
      </c>
      <c r="AT106" s="0" t="n">
        <v>2.24533704244954E-006</v>
      </c>
      <c r="AU106" s="3" t="n">
        <v>0.041155104555927</v>
      </c>
      <c r="AV106" s="0" t="n">
        <v>0.017961406189214</v>
      </c>
      <c r="AW106" s="0" t="n">
        <v>0.135524773919013</v>
      </c>
      <c r="AZ106" s="0" t="n">
        <v>0.24869650933322</v>
      </c>
      <c r="BA106" s="0" t="n">
        <v>0.22609650933322</v>
      </c>
      <c r="BC106" s="0" t="n">
        <v>0.174545225009669</v>
      </c>
      <c r="BD106" s="0" t="n">
        <v>0.151945225009669</v>
      </c>
      <c r="BE106" s="0" t="n">
        <v>0.0968084673027964</v>
      </c>
      <c r="BF106" s="3" t="n">
        <v>0.0516084673027964</v>
      </c>
      <c r="BG106" s="0" t="n">
        <v>0.0601454619258458</v>
      </c>
      <c r="BH106" s="0" t="n">
        <f aca="false">M106/BG106</f>
        <v>0.75173303304762</v>
      </c>
      <c r="BI106" s="0" t="n">
        <v>0.000423454669053146</v>
      </c>
      <c r="BJ106" s="0" t="n">
        <v>0.618045375440705</v>
      </c>
      <c r="BK106" s="0" t="n">
        <v>0.145528436757564</v>
      </c>
      <c r="BL106" s="0" t="n">
        <v>0.158124773919013</v>
      </c>
      <c r="BM106" s="0" t="n">
        <v>0.135524773919013</v>
      </c>
      <c r="BN106" s="0" t="e">
        <f aca="false">#REF!/#REF!</f>
        <v>#REF!</v>
      </c>
      <c r="BO106" s="0" t="e">
        <f aca="false">BN106-0.0226</f>
        <v>#REF!</v>
      </c>
    </row>
    <row r="107" customFormat="false" ht="12.8" hidden="false" customHeight="false" outlineLevel="0" collapsed="false">
      <c r="A107" s="0" t="s">
        <v>160</v>
      </c>
      <c r="B107" s="0" t="s">
        <v>111</v>
      </c>
      <c r="C107" s="0" t="s">
        <v>51</v>
      </c>
      <c r="D107" s="0" t="s">
        <v>52</v>
      </c>
      <c r="E107" s="0" t="n">
        <v>0.5783</v>
      </c>
      <c r="F107" s="0" t="n">
        <v>5.0898</v>
      </c>
      <c r="G107" s="0" t="n">
        <v>679</v>
      </c>
      <c r="H107" s="0" t="n">
        <v>625</v>
      </c>
      <c r="I107" s="0" t="s">
        <v>53</v>
      </c>
      <c r="J107" s="0" t="n">
        <v>0.0552348159</v>
      </c>
      <c r="K107" s="0" t="n">
        <v>0.389096</v>
      </c>
      <c r="L107" s="0" t="n">
        <v>0.0343427724857533</v>
      </c>
      <c r="M107" s="1" t="n">
        <v>0.0346515425930568</v>
      </c>
      <c r="N107" s="0" t="n">
        <v>0.318042319740217</v>
      </c>
      <c r="O107" s="0" t="n">
        <v>0.286000743333436</v>
      </c>
      <c r="P107" s="0" t="n">
        <v>0.242338354241388</v>
      </c>
      <c r="Q107" s="0" t="n">
        <v>0.335995830367044</v>
      </c>
      <c r="R107" s="11" t="n">
        <v>0.243380185598</v>
      </c>
      <c r="S107" s="11" t="n">
        <v>0.209037413112247</v>
      </c>
      <c r="T107" s="0" t="n">
        <v>0.000173017282273333</v>
      </c>
      <c r="U107" s="11" t="n">
        <v>0.00022134471246</v>
      </c>
      <c r="V107" s="11" t="n">
        <v>0.000238476593836333</v>
      </c>
      <c r="Z107" s="1"/>
      <c r="AA107" s="1"/>
      <c r="AB107" s="11"/>
      <c r="AJ107" s="0" t="n">
        <v>2.72438879134006</v>
      </c>
      <c r="AK107" s="0" t="n">
        <v>0.0002878883647345</v>
      </c>
      <c r="AL107" s="0" t="n">
        <f aca="false">AK107-0.0000483274301866667</f>
        <v>0.000239560934547833</v>
      </c>
      <c r="AM107" s="0" t="n">
        <v>0.60942818487876</v>
      </c>
      <c r="AN107" s="0" t="n">
        <v>5.06146533E-012</v>
      </c>
      <c r="AO107" s="0" t="n">
        <v>0.000173017282273333</v>
      </c>
      <c r="AP107" s="0" t="n">
        <v>2.72438879134006</v>
      </c>
      <c r="AQ107" s="0" t="n">
        <v>0.000286804024023</v>
      </c>
      <c r="AR107" s="0" t="n">
        <f aca="false">AQ107-0.0000483274301866667</f>
        <v>0.000238476593836333</v>
      </c>
      <c r="AS107" s="0" t="n">
        <v>0.61245002196928</v>
      </c>
      <c r="AT107" s="0" t="n">
        <v>1.630860546E-011</v>
      </c>
      <c r="AU107" s="3" t="n">
        <v>0.091159652331288</v>
      </c>
      <c r="AV107" s="0" t="n">
        <v>0.00208690278184374</v>
      </c>
      <c r="AW107" s="0" t="n">
        <v>0.332065080660224</v>
      </c>
      <c r="AZ107" s="0" t="n">
        <v>0.320217636961149</v>
      </c>
      <c r="BA107" s="0" t="n">
        <v>0.297617636961149</v>
      </c>
      <c r="BC107" s="0" t="n">
        <v>0.264938354241388</v>
      </c>
      <c r="BD107" s="0" t="n">
        <v>0.242338354241388</v>
      </c>
      <c r="BE107" s="0" t="n">
        <v>0.147753108192914</v>
      </c>
      <c r="BF107" s="3" t="n">
        <v>0.102553108192914</v>
      </c>
      <c r="BG107" s="0" t="n">
        <v>0.0455383051711391</v>
      </c>
      <c r="BH107" s="0" t="n">
        <f aca="false">M107/BG107</f>
        <v>0.760931757623206</v>
      </c>
      <c r="BI107" s="0" t="n">
        <v>1.29371964E-012</v>
      </c>
      <c r="BJ107" s="0" t="n">
        <v>0.575801100765511</v>
      </c>
      <c r="BK107" s="0" t="n">
        <v>0.296706041696279</v>
      </c>
      <c r="BL107" s="0" t="n">
        <v>0.354665080660224</v>
      </c>
      <c r="BM107" s="0" t="n">
        <v>0.332065080660224</v>
      </c>
      <c r="BN107" s="0" t="e">
        <f aca="false">#REF!/#REF!</f>
        <v>#REF!</v>
      </c>
      <c r="BO107" s="0" t="e">
        <f aca="false">BN107-0.0226</f>
        <v>#REF!</v>
      </c>
    </row>
    <row r="108" customFormat="false" ht="12.8" hidden="false" customHeight="false" outlineLevel="0" collapsed="false">
      <c r="A108" s="0" t="s">
        <v>161</v>
      </c>
      <c r="B108" s="0" t="s">
        <v>111</v>
      </c>
      <c r="C108" s="0" t="s">
        <v>51</v>
      </c>
      <c r="D108" s="0" t="s">
        <v>52</v>
      </c>
      <c r="E108" s="0" t="n">
        <v>0.193</v>
      </c>
      <c r="F108" s="0" t="n">
        <v>2.5073</v>
      </c>
      <c r="G108" s="0" t="n">
        <v>98</v>
      </c>
      <c r="H108" s="0" t="n">
        <v>76</v>
      </c>
      <c r="I108" s="0" t="s">
        <v>55</v>
      </c>
      <c r="J108" s="0" t="n">
        <v>0.03668736385</v>
      </c>
      <c r="K108" s="0" t="n">
        <v>0.06127785</v>
      </c>
      <c r="L108" s="0" t="n">
        <v>0.00581532119025896</v>
      </c>
      <c r="M108" s="1" t="n">
        <v>0.0332516133754062</v>
      </c>
      <c r="N108" s="0" t="n">
        <v>0.211182885233015</v>
      </c>
      <c r="O108" s="0" t="n">
        <v>0.142784369651876</v>
      </c>
      <c r="P108" s="0" t="n">
        <v>0.109679163721751</v>
      </c>
      <c r="Q108" s="0" t="n">
        <v>0.222075712058529</v>
      </c>
      <c r="R108" s="11" t="n">
        <v>0.0303864506568</v>
      </c>
      <c r="S108" s="11" t="n">
        <v>0.024571129466541</v>
      </c>
      <c r="T108" s="0" t="n">
        <v>0.000102209269091333</v>
      </c>
      <c r="U108" s="11" t="n">
        <v>0.000150536699278</v>
      </c>
      <c r="V108" s="11" t="n">
        <v>0.000186493111831333</v>
      </c>
      <c r="Z108" s="1"/>
      <c r="AA108" s="1"/>
      <c r="AB108" s="11"/>
      <c r="AJ108" s="0" t="n">
        <v>0.43338334305161</v>
      </c>
      <c r="AK108" s="0" t="n">
        <v>0.000234820542018</v>
      </c>
      <c r="AL108" s="0" t="n">
        <f aca="false">AK108-0.0000483274301866667</f>
        <v>0.000186493111831333</v>
      </c>
      <c r="AM108" s="0" t="n">
        <v>-0.0886626701246694</v>
      </c>
      <c r="AN108" s="0" t="n">
        <v>0.000315123833565919</v>
      </c>
      <c r="AO108" s="0" t="n">
        <v>0.000102209269091333</v>
      </c>
      <c r="AP108" s="0" t="n">
        <v>0.43338334305161</v>
      </c>
      <c r="AQ108" s="0" t="n">
        <v>0.000234820542018</v>
      </c>
      <c r="AR108" s="0" t="n">
        <f aca="false">AQ108-0.0000483274301866667</f>
        <v>0.000186493111831333</v>
      </c>
      <c r="AS108" s="0" t="n">
        <v>-0.0886626701246694</v>
      </c>
      <c r="AT108" s="0" t="n">
        <v>0.000630247667131838</v>
      </c>
      <c r="AU108" s="3" t="n">
        <v>0.0421815409781416</v>
      </c>
      <c r="AV108" s="0" t="n">
        <v>0.156767280544581</v>
      </c>
      <c r="AW108" s="0" t="n">
        <v>0.156108494874388</v>
      </c>
      <c r="AZ108" s="0" t="n">
        <v>0.267729367596507</v>
      </c>
      <c r="BA108" s="0" t="n">
        <v>0.245129367596507</v>
      </c>
      <c r="BC108" s="0" t="n">
        <v>0.132279163721751</v>
      </c>
      <c r="BD108" s="0" t="n">
        <v>0.109679163721751</v>
      </c>
      <c r="BE108" s="0" t="n">
        <v>0.0793977950518396</v>
      </c>
      <c r="BF108" s="3" t="n">
        <v>0.0341977950518396</v>
      </c>
      <c r="BG108" s="0" t="n">
        <v>0.0453361449268607</v>
      </c>
      <c r="BH108" s="0" t="n">
        <f aca="false">M108/BG108</f>
        <v>0.733445982869737</v>
      </c>
      <c r="BI108" s="0" t="n">
        <v>0.042138643362472</v>
      </c>
      <c r="BJ108" s="0" t="n">
        <v>0.688522632139413</v>
      </c>
      <c r="BK108" s="0" t="n">
        <v>0.136394652731772</v>
      </c>
      <c r="BL108" s="0" t="n">
        <v>0.178708494874388</v>
      </c>
      <c r="BM108" s="0" t="n">
        <v>0.156108494874388</v>
      </c>
      <c r="BN108" s="0" t="e">
        <f aca="false">#REF!/#REF!</f>
        <v>#REF!</v>
      </c>
      <c r="BO108" s="0" t="e">
        <f aca="false">BN108-0.0226</f>
        <v>#REF!</v>
      </c>
    </row>
    <row r="109" customFormat="false" ht="12.8" hidden="false" customHeight="false" outlineLevel="0" collapsed="false">
      <c r="A109" s="0" t="s">
        <v>162</v>
      </c>
      <c r="B109" s="0" t="s">
        <v>111</v>
      </c>
      <c r="C109" s="0" t="s">
        <v>59</v>
      </c>
      <c r="D109" s="0" t="s">
        <v>52</v>
      </c>
      <c r="E109" s="0" t="n">
        <v>0.0981</v>
      </c>
      <c r="F109" s="0" t="n">
        <v>1.6205</v>
      </c>
      <c r="G109" s="0" t="n">
        <v>146</v>
      </c>
      <c r="H109" s="0" t="n">
        <v>113</v>
      </c>
      <c r="I109" s="0" t="s">
        <v>53</v>
      </c>
      <c r="J109" s="0" t="n">
        <v>0</v>
      </c>
      <c r="K109" s="0" t="n">
        <v>0.0618956</v>
      </c>
      <c r="L109" s="0" t="n">
        <v>0.00566994856712685</v>
      </c>
      <c r="M109" s="1" t="n">
        <v>0.0386844772763274</v>
      </c>
      <c r="N109" s="0" t="n">
        <v>0.123750214724823</v>
      </c>
      <c r="O109" s="0" t="n">
        <v>0.195060637430251</v>
      </c>
      <c r="P109" s="0" t="n">
        <v>0.140427363917228</v>
      </c>
      <c r="Q109" s="0" t="n">
        <v>0.107409746957704</v>
      </c>
      <c r="R109" s="11" t="n">
        <v>0.037730376778</v>
      </c>
      <c r="S109" s="11" t="n">
        <v>0.0320604282108732</v>
      </c>
      <c r="T109" s="0" t="n">
        <v>0.0001234966548305</v>
      </c>
      <c r="U109" s="11" t="n">
        <v>0.0001606313121905</v>
      </c>
      <c r="V109" s="11" t="n">
        <v>0.000179575412555</v>
      </c>
      <c r="Z109" s="1"/>
      <c r="AA109" s="1"/>
      <c r="AB109" s="11"/>
      <c r="AJ109" s="0" t="n">
        <v>0.772726613416249</v>
      </c>
      <c r="AK109" s="0" t="n">
        <v>0.0002327228895985</v>
      </c>
      <c r="AL109" s="0" t="n">
        <f aca="false">AK109-0.00003713465736</f>
        <v>0.0001955882322385</v>
      </c>
      <c r="AM109" s="0" t="n">
        <v>0.306360655047018</v>
      </c>
      <c r="AN109" s="0" t="n">
        <v>0.00221886198737091</v>
      </c>
      <c r="AO109" s="0" t="n">
        <v>0.0001234966548305</v>
      </c>
      <c r="AP109" s="0" t="n">
        <v>0.772726613416249</v>
      </c>
      <c r="AQ109" s="0" t="n">
        <v>0.000216710069915</v>
      </c>
      <c r="AR109" s="0" t="n">
        <f aca="false">AQ109-0.00003713465736</f>
        <v>0.000179575412555</v>
      </c>
      <c r="AS109" s="0" t="n">
        <v>0.339081082711386</v>
      </c>
      <c r="AT109" s="0" t="n">
        <v>0.00742484766043303</v>
      </c>
      <c r="AU109" s="3" t="n">
        <v>0.0434697145462745</v>
      </c>
      <c r="AV109" s="0" t="n">
        <v>0.38943655517303</v>
      </c>
      <c r="AW109" s="0" t="n">
        <v>0</v>
      </c>
      <c r="AZ109" s="0" t="n">
        <v>0.167687504761059</v>
      </c>
      <c r="BA109" s="0" t="n">
        <v>0.146987504761059</v>
      </c>
      <c r="BC109" s="0" t="n">
        <v>0.161127363917228</v>
      </c>
      <c r="BD109" s="0" t="n">
        <v>0.140427363917228</v>
      </c>
      <c r="BE109" s="0" t="n">
        <v>0.0786102379919056</v>
      </c>
      <c r="BF109" s="3" t="n">
        <v>0.0372102379919056</v>
      </c>
      <c r="BG109" s="0" t="n">
        <v>0.0438631402017741</v>
      </c>
      <c r="BH109" s="0" t="n">
        <f aca="false">M109/BG109</f>
        <v>0.881935882802179</v>
      </c>
      <c r="BI109" s="0" t="n">
        <v>0.0719152737791724</v>
      </c>
      <c r="BJ109" s="0" t="n">
        <v>0.549107962680752</v>
      </c>
      <c r="BK109" s="0" t="n">
        <v>0</v>
      </c>
      <c r="BL109" s="0" t="n">
        <v>0</v>
      </c>
      <c r="BM109" s="0" t="n">
        <v>0</v>
      </c>
      <c r="BN109" s="0" t="e">
        <f aca="false">#REF!/#REF!</f>
        <v>#REF!</v>
      </c>
      <c r="BO109" s="0" t="n">
        <v>0</v>
      </c>
    </row>
    <row r="110" customFormat="false" ht="12.8" hidden="false" customHeight="false" outlineLevel="0" collapsed="false">
      <c r="A110" s="0" t="s">
        <v>163</v>
      </c>
      <c r="B110" s="0" t="s">
        <v>111</v>
      </c>
      <c r="C110" s="0" t="s">
        <v>51</v>
      </c>
      <c r="D110" s="0" t="s">
        <v>52</v>
      </c>
      <c r="E110" s="0" t="n">
        <v>0.1788</v>
      </c>
      <c r="F110" s="0" t="n">
        <v>2.1678</v>
      </c>
      <c r="G110" s="0" t="n">
        <v>232</v>
      </c>
      <c r="H110" s="0" t="n">
        <v>196</v>
      </c>
      <c r="I110" s="0" t="s">
        <v>53</v>
      </c>
      <c r="J110" s="0" t="n">
        <v>0.033592999</v>
      </c>
      <c r="K110" s="0" t="n">
        <v>0.0632864</v>
      </c>
      <c r="L110" s="0" t="n">
        <v>0.0117324043196621</v>
      </c>
      <c r="M110" s="1" t="n">
        <v>0.0312631437760634</v>
      </c>
      <c r="N110" s="0" t="n">
        <v>0.208093035393523</v>
      </c>
      <c r="O110" s="0" t="n">
        <v>0.183953179771257</v>
      </c>
      <c r="P110" s="0" t="n">
        <v>0.148872916713388</v>
      </c>
      <c r="Q110" s="0" t="n">
        <v>0.222053853980093</v>
      </c>
      <c r="R110" s="11" t="n">
        <v>0.0633116920134</v>
      </c>
      <c r="S110" s="11" t="n">
        <v>0.0515792876937379</v>
      </c>
      <c r="T110" s="0" t="n">
        <v>0.000112987853887833</v>
      </c>
      <c r="U110" s="11" t="n">
        <v>0.0001613152840745</v>
      </c>
      <c r="V110" s="11" t="n">
        <v>0.000127222510085333</v>
      </c>
      <c r="Z110" s="1"/>
      <c r="AA110" s="1"/>
      <c r="AB110" s="11"/>
      <c r="AJ110" s="0" t="n">
        <v>1.52709482261138</v>
      </c>
      <c r="AK110" s="0" t="n">
        <v>0.000178229676005</v>
      </c>
      <c r="AL110" s="0" t="n">
        <f aca="false">AK110-0.0000483274301866667</f>
        <v>0.000129902245818333</v>
      </c>
      <c r="AM110" s="0" t="n">
        <v>0.924602828518803</v>
      </c>
      <c r="AN110" s="0" t="n">
        <v>0.00327061559101188</v>
      </c>
      <c r="AO110" s="0" t="n">
        <v>0.000111797330559333</v>
      </c>
      <c r="AP110" s="0" t="n">
        <v>1.45561550626799</v>
      </c>
      <c r="AQ110" s="0" t="n">
        <v>0.000175549940272</v>
      </c>
      <c r="AR110" s="0" t="n">
        <f aca="false">AQ110-0.0000483274301866667</f>
        <v>0.000127222510085333</v>
      </c>
      <c r="AS110" s="0" t="n">
        <v>0.963776716967459</v>
      </c>
      <c r="AT110" s="0" t="n">
        <v>0.0041473200134908</v>
      </c>
      <c r="AU110" s="3" t="n">
        <v>0.0496177858876019</v>
      </c>
      <c r="AV110" s="0" t="n">
        <v>0.159988045825158</v>
      </c>
      <c r="AW110" s="0" t="n">
        <v>0.112255482595735</v>
      </c>
      <c r="AZ110" s="0" t="n">
        <v>0.224707155354823</v>
      </c>
      <c r="BA110" s="0" t="n">
        <v>0.202107155354823</v>
      </c>
      <c r="BC110" s="0" t="n">
        <v>0.171472916713388</v>
      </c>
      <c r="BD110" s="0" t="n">
        <v>0.148872916713388</v>
      </c>
      <c r="BE110" s="0" t="n">
        <v>0.0928713521400238</v>
      </c>
      <c r="BF110" s="3" t="n">
        <v>0.0476713521400238</v>
      </c>
      <c r="BG110" s="0" t="n">
        <v>0.0385838474422197</v>
      </c>
      <c r="BH110" s="0" t="n">
        <f aca="false">M110/BG110</f>
        <v>0.810265068119004</v>
      </c>
      <c r="BI110" s="0" t="n">
        <v>0.000472006901170792</v>
      </c>
      <c r="BJ110" s="0" t="n">
        <v>0.581686982518914</v>
      </c>
      <c r="BK110" s="0" t="n">
        <v>0.096944382858703</v>
      </c>
      <c r="BL110" s="0" t="n">
        <v>0.134855482595735</v>
      </c>
      <c r="BM110" s="0" t="n">
        <v>0.112255482595735</v>
      </c>
      <c r="BN110" s="0" t="e">
        <f aca="false">#REF!/#REF!</f>
        <v>#REF!</v>
      </c>
      <c r="BO110" s="0" t="e">
        <f aca="false">BN110-0.0226</f>
        <v>#REF!</v>
      </c>
    </row>
    <row r="111" customFormat="false" ht="12.8" hidden="false" customHeight="false" outlineLevel="0" collapsed="false">
      <c r="A111" s="0" t="s">
        <v>164</v>
      </c>
      <c r="B111" s="0" t="s">
        <v>111</v>
      </c>
      <c r="C111" s="0" t="s">
        <v>59</v>
      </c>
      <c r="D111" s="0" t="s">
        <v>52</v>
      </c>
      <c r="E111" s="0" t="n">
        <v>0.189</v>
      </c>
      <c r="F111" s="0" t="n">
        <v>1.872</v>
      </c>
      <c r="G111" s="0" t="n">
        <v>425</v>
      </c>
      <c r="H111" s="0" t="n">
        <v>378</v>
      </c>
      <c r="I111" s="0" t="s">
        <v>55</v>
      </c>
      <c r="J111" s="0" t="n">
        <v>0</v>
      </c>
      <c r="K111" s="0" t="n">
        <v>0.0539543</v>
      </c>
      <c r="L111" s="0" t="n">
        <v>0.0161448578386875</v>
      </c>
      <c r="M111" s="1" t="n">
        <v>0.0368842767646866</v>
      </c>
      <c r="N111" s="0" t="n">
        <v>0.204930009451381</v>
      </c>
      <c r="O111" s="0" t="n">
        <v>0.239135900189307</v>
      </c>
      <c r="P111" s="0" t="n">
        <v>0.196688037827343</v>
      </c>
      <c r="Q111" s="0" t="n">
        <v>0.2357356142724</v>
      </c>
      <c r="R111" s="11" t="n">
        <v>0.13377999017</v>
      </c>
      <c r="S111" s="11" t="n">
        <v>0.117635132331313</v>
      </c>
      <c r="T111" s="0" t="n">
        <v>0.000140140958058</v>
      </c>
      <c r="U111" s="11" t="n">
        <v>0.000177275615418</v>
      </c>
      <c r="V111" s="11" t="n">
        <v>0.000216292363387</v>
      </c>
      <c r="Z111" s="1"/>
      <c r="AA111" s="1"/>
      <c r="AB111" s="11"/>
      <c r="AJ111" s="0" t="n">
        <v>2.0240170576516</v>
      </c>
      <c r="AK111" s="0" t="n">
        <v>0.000253427020747</v>
      </c>
      <c r="AL111" s="0" t="n">
        <f aca="false">AK111-0.00003713465736</f>
        <v>0.000216292363387</v>
      </c>
      <c r="AM111" s="0" t="n">
        <v>0.708014412482076</v>
      </c>
      <c r="AN111" s="0" t="n">
        <v>9.88062987584E-009</v>
      </c>
      <c r="AO111" s="0" t="n">
        <v>0.0001391838535585</v>
      </c>
      <c r="AP111" s="0" t="n">
        <v>1.97270150798161</v>
      </c>
      <c r="AQ111" s="0" t="n">
        <v>0.000253427020747</v>
      </c>
      <c r="AR111" s="0" t="n">
        <f aca="false">AQ111-0.00003713465736</f>
        <v>0.000216292363387</v>
      </c>
      <c r="AS111" s="0" t="n">
        <v>0.655501139805933</v>
      </c>
      <c r="AT111" s="0" t="n">
        <v>8.82743019757E-009</v>
      </c>
      <c r="AU111" s="3" t="n">
        <v>0.077191719223263</v>
      </c>
      <c r="AV111" s="0" t="n">
        <v>0.00740498547970852</v>
      </c>
      <c r="AW111" s="0" t="n">
        <v>0</v>
      </c>
      <c r="AZ111" s="0" t="n">
        <v>0.296107928985672</v>
      </c>
      <c r="BA111" s="0" t="n">
        <v>0.275407928985672</v>
      </c>
      <c r="BC111" s="0" t="n">
        <v>0.217388037827343</v>
      </c>
      <c r="BD111" s="0" t="n">
        <v>0.196688037827343</v>
      </c>
      <c r="BE111" s="0" t="n">
        <v>0.127672667512858</v>
      </c>
      <c r="BF111" s="3" t="n">
        <v>0.086272667512858</v>
      </c>
      <c r="BG111" s="0" t="n">
        <v>0.0463742420112239</v>
      </c>
      <c r="BH111" s="0" t="n">
        <f aca="false">M111/BG111</f>
        <v>0.79536128602942</v>
      </c>
      <c r="BI111" s="0" t="n">
        <v>5.05921866297841E-006</v>
      </c>
      <c r="BJ111" s="0" t="n">
        <v>0.618259741290246</v>
      </c>
      <c r="BK111" s="0" t="n">
        <v>0</v>
      </c>
      <c r="BL111" s="0" t="n">
        <v>0</v>
      </c>
      <c r="BM111" s="0" t="n">
        <v>0</v>
      </c>
      <c r="BN111" s="0" t="e">
        <f aca="false">#REF!/#REF!</f>
        <v>#REF!</v>
      </c>
      <c r="BO111" s="0" t="n">
        <v>0</v>
      </c>
    </row>
    <row r="112" customFormat="false" ht="12.8" hidden="false" customHeight="false" outlineLevel="0" collapsed="false">
      <c r="A112" s="0" t="s">
        <v>165</v>
      </c>
      <c r="B112" s="0" t="s">
        <v>111</v>
      </c>
      <c r="C112" s="0" t="s">
        <v>59</v>
      </c>
      <c r="D112" s="0" t="s">
        <v>52</v>
      </c>
      <c r="E112" s="0" t="n">
        <v>0.1195</v>
      </c>
      <c r="F112" s="0" t="n">
        <v>1.5888</v>
      </c>
      <c r="G112" s="0" t="n">
        <v>269</v>
      </c>
      <c r="H112" s="0" t="n">
        <v>226</v>
      </c>
      <c r="I112" s="0" t="s">
        <v>53</v>
      </c>
      <c r="J112" s="0" t="n">
        <v>0</v>
      </c>
      <c r="K112" s="0" t="n">
        <v>0.0418576</v>
      </c>
      <c r="L112" s="0" t="n">
        <v>0.0102457538919909</v>
      </c>
      <c r="M112" s="1" t="n">
        <v>0.0320044026177955</v>
      </c>
      <c r="N112" s="0" t="n">
        <v>0.192154912102271</v>
      </c>
      <c r="O112" s="0" t="n">
        <v>0.202551842878886</v>
      </c>
      <c r="P112" s="0" t="n">
        <v>0.154640401669541</v>
      </c>
      <c r="Q112" s="0" t="n">
        <v>0.183113870950112</v>
      </c>
      <c r="R112" s="11" t="n">
        <v>0.0679278087812</v>
      </c>
      <c r="S112" s="11" t="n">
        <v>0.0576820548892091</v>
      </c>
      <c r="T112" s="0" t="n">
        <v>0.000113085767012</v>
      </c>
      <c r="U112" s="11" t="n">
        <v>0.000150220424372</v>
      </c>
      <c r="V112" s="11" t="n">
        <v>0.00016921721992</v>
      </c>
      <c r="Z112" s="1"/>
      <c r="AA112" s="1"/>
      <c r="AB112" s="11"/>
      <c r="AJ112" s="0" t="n">
        <v>2.12650081780622</v>
      </c>
      <c r="AK112" s="0" t="n">
        <v>0.00020635187728</v>
      </c>
      <c r="AL112" s="0" t="n">
        <f aca="false">AK112-0.00003713465736</f>
        <v>0.00016921721992</v>
      </c>
      <c r="AM112" s="0" t="n">
        <v>0.517284555112445</v>
      </c>
      <c r="AN112" s="0" t="n">
        <v>1.94128071540927E-006</v>
      </c>
      <c r="AO112" s="0" t="n">
        <v>0.000112431700561</v>
      </c>
      <c r="AP112" s="0" t="n">
        <v>0.865016572421376</v>
      </c>
      <c r="AQ112" s="0" t="n">
        <v>0.00020635187728</v>
      </c>
      <c r="AR112" s="0" t="n">
        <f aca="false">AQ112-0.00003713465736</f>
        <v>0.00016921721992</v>
      </c>
      <c r="AS112" s="0" t="n">
        <v>0.485091933143786</v>
      </c>
      <c r="AT112" s="0" t="n">
        <v>5.20091658952984E-006</v>
      </c>
      <c r="AU112" s="3" t="n">
        <v>0.0514209874173973</v>
      </c>
      <c r="AV112" s="0" t="n">
        <v>0.329308893573569</v>
      </c>
      <c r="AW112" s="0" t="n">
        <v>0</v>
      </c>
      <c r="AZ112" s="0" t="n">
        <v>0.233499216541526</v>
      </c>
      <c r="BA112" s="0" t="n">
        <v>0.212799216541526</v>
      </c>
      <c r="BC112" s="0" t="n">
        <v>0.175340401669541</v>
      </c>
      <c r="BD112" s="0" t="n">
        <v>0.154640401669541</v>
      </c>
      <c r="BE112" s="0" t="n">
        <v>0.0903171838674059</v>
      </c>
      <c r="BF112" s="3" t="n">
        <v>0.0489171838674059</v>
      </c>
      <c r="BG112" s="0" t="n">
        <v>0.0408800544141058</v>
      </c>
      <c r="BH112" s="0" t="n">
        <f aca="false">M112/BG112</f>
        <v>0.782885519025931</v>
      </c>
      <c r="BI112" s="0" t="n">
        <v>0.000600195154830108</v>
      </c>
      <c r="BJ112" s="0" t="n">
        <v>0.543364730086607</v>
      </c>
      <c r="BK112" s="0" t="n">
        <v>0</v>
      </c>
      <c r="BL112" s="0" t="n">
        <v>0</v>
      </c>
      <c r="BM112" s="0" t="n">
        <v>0</v>
      </c>
      <c r="BN112" s="0" t="e">
        <f aca="false">#REF!/#REF!</f>
        <v>#REF!</v>
      </c>
      <c r="BO112" s="0" t="n">
        <v>0</v>
      </c>
    </row>
    <row r="113" customFormat="false" ht="12.8" hidden="false" customHeight="false" outlineLevel="0" collapsed="false">
      <c r="A113" s="0" t="s">
        <v>166</v>
      </c>
      <c r="B113" s="0" t="s">
        <v>111</v>
      </c>
      <c r="C113" s="0" t="s">
        <v>51</v>
      </c>
      <c r="D113" s="0" t="s">
        <v>52</v>
      </c>
      <c r="E113" s="0" t="n">
        <v>0.7123</v>
      </c>
      <c r="F113" s="0" t="n">
        <v>5.6905</v>
      </c>
      <c r="G113" s="0" t="n">
        <v>2043</v>
      </c>
      <c r="H113" s="0" t="n">
        <v>1976</v>
      </c>
      <c r="I113" s="0" t="s">
        <v>55</v>
      </c>
      <c r="J113" s="0" t="n">
        <v>0.0471834987</v>
      </c>
      <c r="K113" s="0" t="n">
        <v>0.4343055</v>
      </c>
      <c r="L113" s="0" t="n">
        <v>0.102919429192422</v>
      </c>
      <c r="M113" s="1" t="n">
        <v>0.0234812229448222</v>
      </c>
      <c r="N113" s="0" t="n">
        <v>0.26309505790839</v>
      </c>
      <c r="O113" s="0" t="n">
        <v>0.406803415198074</v>
      </c>
      <c r="P113" s="0" t="n">
        <v>0.331096812475264</v>
      </c>
      <c r="Q113" s="0" t="n">
        <v>0.23553631144062</v>
      </c>
      <c r="R113" s="11" t="n">
        <v>0.557015203368</v>
      </c>
      <c r="S113" s="11" t="n">
        <v>0.454095774175578</v>
      </c>
      <c r="T113" s="0" t="n">
        <v>0.000102224052936833</v>
      </c>
      <c r="U113" s="11" t="n">
        <v>0.0001505514831235</v>
      </c>
      <c r="V113" s="11" t="n">
        <v>0.000162879525317333</v>
      </c>
      <c r="Z113" s="1"/>
      <c r="AA113" s="1"/>
      <c r="AB113" s="11"/>
      <c r="AJ113" s="0" t="n">
        <v>6.02753819709851</v>
      </c>
      <c r="AK113" s="0" t="n">
        <v>0.000229957856596</v>
      </c>
      <c r="AL113" s="0" t="n">
        <f aca="false">AK113-0.0000483274301866667</f>
        <v>0.000181630426409333</v>
      </c>
      <c r="AM113" s="0" t="n">
        <v>0.756034266780685</v>
      </c>
      <c r="AN113" s="0" t="n">
        <v>7.4871054684872E-092</v>
      </c>
      <c r="AO113" s="0" t="n">
        <v>0.000101135618192333</v>
      </c>
      <c r="AP113" s="0" t="n">
        <v>7.13046797658967</v>
      </c>
      <c r="AQ113" s="0" t="n">
        <v>0.000211206955504</v>
      </c>
      <c r="AR113" s="0" t="n">
        <f aca="false">AQ113-0.0000483274301866667</f>
        <v>0.000162879525317333</v>
      </c>
      <c r="AS113" s="0" t="n">
        <v>0.780024650270058</v>
      </c>
      <c r="AT113" s="0" t="n">
        <v>1.7529830217919E-070</v>
      </c>
      <c r="AU113" s="3" t="n">
        <v>0.131028518817156</v>
      </c>
      <c r="AV113" s="0" t="n">
        <v>0.21546577619025</v>
      </c>
      <c r="AW113" s="0" t="n">
        <v>0.339884114215563</v>
      </c>
      <c r="AZ113" s="0" t="n">
        <v>0.377699593884014</v>
      </c>
      <c r="BA113" s="0" t="n">
        <v>0.355099593884014</v>
      </c>
      <c r="BC113" s="0" t="n">
        <v>0.353696812475264</v>
      </c>
      <c r="BD113" s="0" t="n">
        <v>0.331096812475264</v>
      </c>
      <c r="BE113" s="0" t="n">
        <v>0.180969783534129</v>
      </c>
      <c r="BF113" s="3" t="n">
        <v>0.135769783534129</v>
      </c>
      <c r="BG113" s="0" t="n">
        <v>0.0379352412658087</v>
      </c>
      <c r="BH113" s="0" t="n">
        <f aca="false">M113/BG113</f>
        <v>0.618981774237086</v>
      </c>
      <c r="BI113" s="0" t="n">
        <v>1.87236363807161E-104</v>
      </c>
      <c r="BJ113" s="0" t="n">
        <v>0.490067834117375</v>
      </c>
      <c r="BK113" s="0" t="n">
        <v>0.296854322855529</v>
      </c>
      <c r="BL113" s="0" t="n">
        <v>0.362484114215563</v>
      </c>
      <c r="BM113" s="0" t="n">
        <v>0.339884114215563</v>
      </c>
      <c r="BN113" s="0" t="e">
        <f aca="false">#REF!/#REF!</f>
        <v>#REF!</v>
      </c>
      <c r="BO113" s="0" t="e">
        <f aca="false">BN113-0.0226</f>
        <v>#REF!</v>
      </c>
    </row>
    <row r="114" customFormat="false" ht="12.8" hidden="false" customHeight="false" outlineLevel="0" collapsed="false">
      <c r="A114" s="0" t="s">
        <v>167</v>
      </c>
      <c r="B114" s="0" t="s">
        <v>111</v>
      </c>
      <c r="C114" s="0" t="s">
        <v>59</v>
      </c>
      <c r="D114" s="0" t="s">
        <v>52</v>
      </c>
      <c r="E114" s="0" t="n">
        <v>0.1464</v>
      </c>
      <c r="F114" s="0" t="n">
        <v>2.258</v>
      </c>
      <c r="G114" s="0" t="n">
        <v>200</v>
      </c>
      <c r="H114" s="0" t="n">
        <v>167</v>
      </c>
      <c r="I114" s="0" t="s">
        <v>53</v>
      </c>
      <c r="J114" s="0" t="n">
        <v>0</v>
      </c>
      <c r="K114" s="0" t="n">
        <v>0.041678</v>
      </c>
      <c r="L114" s="0" t="n">
        <v>0.007490465422987</v>
      </c>
      <c r="M114" s="1" t="n">
        <v>0.0380569782569842</v>
      </c>
      <c r="N114" s="0" t="n">
        <v>0.232190944084884</v>
      </c>
      <c r="O114" s="0" t="n">
        <v>0.254779884565588</v>
      </c>
      <c r="P114" s="0" t="n">
        <v>0.15589324633318</v>
      </c>
      <c r="Q114" s="0" t="n">
        <v>0.22283035033316</v>
      </c>
      <c r="R114" s="11" t="n">
        <v>0.0559673326488</v>
      </c>
      <c r="S114" s="11" t="n">
        <v>0.048476867225813</v>
      </c>
      <c r="T114" s="0" t="n">
        <v>0.0001313415667815</v>
      </c>
      <c r="U114" s="11" t="n">
        <v>0.0001684762241415</v>
      </c>
      <c r="V114" s="11" t="n">
        <v>0.000199612053417</v>
      </c>
      <c r="Z114" s="1"/>
      <c r="AA114" s="1"/>
      <c r="AB114" s="11"/>
      <c r="AJ114" s="0" t="n">
        <v>0.987432734335698</v>
      </c>
      <c r="AK114" s="0" t="n">
        <v>0.0002261697760815</v>
      </c>
      <c r="AL114" s="0" t="n">
        <f aca="false">AK114-0.00003713465736</f>
        <v>0.0001890351187215</v>
      </c>
      <c r="AM114" s="0" t="n">
        <v>0.53973440918747</v>
      </c>
      <c r="AN114" s="0" t="n">
        <v>0.0115514075271925</v>
      </c>
      <c r="AO114" s="0" t="n">
        <v>0.0001310033450335</v>
      </c>
      <c r="AP114" s="0" t="n">
        <v>0.951430378210571</v>
      </c>
      <c r="AQ114" s="0" t="n">
        <v>0.000236746710777</v>
      </c>
      <c r="AR114" s="0" t="n">
        <f aca="false">AQ114-0.00003713465736</f>
        <v>0.000199612053417</v>
      </c>
      <c r="AS114" s="0" t="n">
        <v>0.565313536566653</v>
      </c>
      <c r="AT114" s="0" t="n">
        <v>0.00497439127924801</v>
      </c>
      <c r="AU114" s="3" t="n">
        <v>0.0523794337160453</v>
      </c>
      <c r="AV114" s="0" t="n">
        <v>0.365282469266678</v>
      </c>
      <c r="AW114" s="0" t="n">
        <v>0</v>
      </c>
      <c r="AZ114" s="0" t="n">
        <v>0.22652135076399</v>
      </c>
      <c r="BA114" s="0" t="n">
        <v>0.20582135076399</v>
      </c>
      <c r="BC114" s="0" t="n">
        <v>0.17659324633318</v>
      </c>
      <c r="BD114" s="0" t="n">
        <v>0.15589324633318</v>
      </c>
      <c r="BE114" s="0" t="n">
        <v>0.0881520358202117</v>
      </c>
      <c r="BF114" s="3" t="n">
        <v>0.0467520358202117</v>
      </c>
      <c r="BG114" s="0" t="n">
        <v>0.0458386624222413</v>
      </c>
      <c r="BH114" s="0" t="n">
        <f aca="false">M114/BG114</f>
        <v>0.830237538487132</v>
      </c>
      <c r="BI114" s="0" t="n">
        <v>0.0516380194505818</v>
      </c>
      <c r="BJ114" s="0" t="n">
        <v>0.514695112340971</v>
      </c>
      <c r="BK114" s="0" t="n">
        <v>0</v>
      </c>
      <c r="BL114" s="0" t="n">
        <v>0</v>
      </c>
      <c r="BM114" s="0" t="n">
        <v>0</v>
      </c>
      <c r="BN114" s="0" t="e">
        <f aca="false">#REF!/#REF!</f>
        <v>#REF!</v>
      </c>
      <c r="BO114" s="0" t="n">
        <v>0</v>
      </c>
    </row>
    <row r="115" customFormat="false" ht="12.8" hidden="false" customHeight="false" outlineLevel="0" collapsed="false">
      <c r="A115" s="0" t="s">
        <v>168</v>
      </c>
      <c r="B115" s="0" t="s">
        <v>111</v>
      </c>
      <c r="C115" s="0" t="s">
        <v>59</v>
      </c>
      <c r="D115" s="0" t="s">
        <v>52</v>
      </c>
      <c r="E115" s="0" t="n">
        <v>0.1839</v>
      </c>
      <c r="F115" s="0" t="n">
        <v>2.017</v>
      </c>
      <c r="G115" s="0" t="n">
        <v>479</v>
      </c>
      <c r="H115" s="0" t="n">
        <v>428</v>
      </c>
      <c r="I115" s="0" t="s">
        <v>55</v>
      </c>
      <c r="J115" s="0" t="n">
        <v>0</v>
      </c>
      <c r="K115" s="0" t="n">
        <v>0.1408628</v>
      </c>
      <c r="L115" s="0" t="n">
        <v>0.0185955259554189</v>
      </c>
      <c r="M115" s="1" t="n">
        <v>0.0282480171431434</v>
      </c>
      <c r="N115" s="0" t="n">
        <v>0.31338</v>
      </c>
      <c r="O115" s="0" t="n">
        <v>0.235088609303149</v>
      </c>
      <c r="P115" s="0" t="n">
        <v>0.18401056359312</v>
      </c>
      <c r="Q115" s="16" t="n">
        <v>0.384219151025893</v>
      </c>
      <c r="R115" s="11" t="n">
        <v>0.112569611231</v>
      </c>
      <c r="S115" s="11" t="n">
        <v>0.0939740852755811</v>
      </c>
      <c r="T115" s="0" t="n">
        <v>9.30363948275E-005</v>
      </c>
      <c r="U115" s="11" t="n">
        <v>0.0001301710521875</v>
      </c>
      <c r="V115" s="11" t="n">
        <v>0.0001493857640225</v>
      </c>
      <c r="Z115" s="1"/>
      <c r="AA115" s="1"/>
      <c r="AB115" s="11"/>
      <c r="AJ115" s="0" t="n">
        <v>3.37931916917275</v>
      </c>
      <c r="AK115" s="0" t="n">
        <v>0.000189963060516</v>
      </c>
      <c r="AL115" s="0" t="n">
        <f aca="false">AK115-0.00003713465736</f>
        <v>0.000152828403156</v>
      </c>
      <c r="AM115" s="0" t="n">
        <v>0.869022703966876</v>
      </c>
      <c r="AN115" s="0" t="n">
        <v>1.5710943647E-010</v>
      </c>
      <c r="AO115" s="0" t="n">
        <v>9.3660369629E-005</v>
      </c>
      <c r="AP115" s="0" t="n">
        <v>3.24763332310135</v>
      </c>
      <c r="AQ115" s="0" t="n">
        <v>0.0001865204213825</v>
      </c>
      <c r="AR115" s="0" t="n">
        <f aca="false">AQ115-0.00003713465736</f>
        <v>0.0001493857640225</v>
      </c>
      <c r="AS115" s="0" t="n">
        <v>0.658896697284709</v>
      </c>
      <c r="AT115" s="0" t="n">
        <v>8.9945895E-013</v>
      </c>
      <c r="AU115" s="3" t="n">
        <v>0.062906865211295</v>
      </c>
      <c r="AV115" s="0" t="n">
        <v>0.00691597191594514</v>
      </c>
      <c r="AW115" s="0" t="n">
        <v>0</v>
      </c>
      <c r="AZ115" s="0" t="n">
        <v>0</v>
      </c>
      <c r="BA115" s="0" t="n">
        <v>0</v>
      </c>
      <c r="BC115" s="0" t="n">
        <v>0.20471056359312</v>
      </c>
      <c r="BD115" s="0" t="n">
        <v>0</v>
      </c>
      <c r="BE115" s="0" t="n">
        <v>0.111228861765799</v>
      </c>
      <c r="BF115" s="3" t="n">
        <v>0.069828861765799</v>
      </c>
      <c r="BG115" s="0" t="n">
        <v>0.0370368293534406</v>
      </c>
      <c r="BH115" s="0" t="n">
        <f aca="false">M115/BG115</f>
        <v>0.762700739676552</v>
      </c>
      <c r="BI115" s="0" t="n">
        <v>9.1526799489577E-007</v>
      </c>
      <c r="BJ115" s="0" t="n">
        <v>0.5672254268001</v>
      </c>
      <c r="BK115" s="0" t="n">
        <v>0</v>
      </c>
      <c r="BL115" s="0" t="n">
        <v>0</v>
      </c>
      <c r="BM115" s="0" t="n">
        <v>0</v>
      </c>
      <c r="BN115" s="0" t="e">
        <f aca="false">#REF!/#REF!</f>
        <v>#REF!</v>
      </c>
      <c r="BO115" s="0" t="n">
        <v>0</v>
      </c>
    </row>
    <row r="116" customFormat="false" ht="12.8" hidden="false" customHeight="false" outlineLevel="0" collapsed="false">
      <c r="A116" s="0" t="s">
        <v>169</v>
      </c>
      <c r="B116" s="0" t="s">
        <v>111</v>
      </c>
      <c r="C116" s="0" t="s">
        <v>59</v>
      </c>
      <c r="D116" s="0" t="s">
        <v>52</v>
      </c>
      <c r="E116" s="0" t="n">
        <v>0.1703</v>
      </c>
      <c r="F116" s="0" t="n">
        <v>2.1875</v>
      </c>
      <c r="G116" s="0" t="n">
        <v>351</v>
      </c>
      <c r="H116" s="0" t="n">
        <v>306</v>
      </c>
      <c r="I116" s="0" t="s">
        <v>55</v>
      </c>
      <c r="J116" s="0" t="n">
        <v>0</v>
      </c>
      <c r="K116" s="0" t="n">
        <v>0.1161296</v>
      </c>
      <c r="L116" s="0" t="n">
        <v>0.0136284825119313</v>
      </c>
      <c r="M116" s="1" t="n">
        <v>0.0327934162492808</v>
      </c>
      <c r="N116" s="0" t="n">
        <v>0.146966087258952</v>
      </c>
      <c r="O116" s="0" t="n">
        <v>0.280990962934268</v>
      </c>
      <c r="P116" s="0" t="n">
        <v>0.213434989069725</v>
      </c>
      <c r="Q116" s="0" t="n">
        <v>0.160781153573841</v>
      </c>
      <c r="R116" s="11" t="n">
        <v>0.095729646064</v>
      </c>
      <c r="S116" s="11" t="n">
        <v>0.0821011635520687</v>
      </c>
      <c r="T116" s="0" t="n">
        <v>0.000124128729021</v>
      </c>
      <c r="U116" s="11" t="n">
        <v>0.000161263386381</v>
      </c>
      <c r="V116" s="11" t="n">
        <v>0.000177499991145</v>
      </c>
      <c r="Z116" s="1"/>
      <c r="AA116" s="1"/>
      <c r="AB116" s="11"/>
      <c r="AJ116" s="0" t="n">
        <v>0.929413082435514</v>
      </c>
      <c r="AK116" s="0" t="n">
        <v>0.000214041509236</v>
      </c>
      <c r="AL116" s="0" t="n">
        <f aca="false">AK116-0.00003713465736</f>
        <v>0.000176906851876</v>
      </c>
      <c r="AM116" s="0" t="n">
        <v>0.607059438706823</v>
      </c>
      <c r="AN116" s="0" t="n">
        <v>6.93786477787348E-006</v>
      </c>
      <c r="AO116" s="0" t="n">
        <v>0.000124128729021</v>
      </c>
      <c r="AP116" s="0" t="n">
        <v>0.929413082435514</v>
      </c>
      <c r="AQ116" s="0" t="n">
        <v>0.000214634648505</v>
      </c>
      <c r="AR116" s="0" t="n">
        <f aca="false">AQ116-0.00003713465736</f>
        <v>0.000177499991145</v>
      </c>
      <c r="AS116" s="0" t="n">
        <v>0.596507276999438</v>
      </c>
      <c r="AT116" s="0" t="n">
        <v>7.25859553843015E-006</v>
      </c>
      <c r="AU116" s="3" t="n">
        <v>0.0544120381679992</v>
      </c>
      <c r="AV116" s="0" t="n">
        <v>0.368323850425374</v>
      </c>
      <c r="AW116" s="0" t="n">
        <v>0</v>
      </c>
      <c r="AZ116" s="0" t="n">
        <v>0.161801724225185</v>
      </c>
      <c r="BA116" s="0" t="n">
        <v>0.141101724225185</v>
      </c>
      <c r="BC116" s="0" t="n">
        <v>0.234134989069725</v>
      </c>
      <c r="BD116" s="0" t="n">
        <v>0.213434989069725</v>
      </c>
      <c r="BE116" s="0" t="n">
        <v>0.0930585148801117</v>
      </c>
      <c r="BF116" s="3" t="n">
        <v>0.0516585148801117</v>
      </c>
      <c r="BG116" s="0" t="n">
        <v>0.0413268351725058</v>
      </c>
      <c r="BH116" s="0" t="n">
        <f aca="false">M116/BG116</f>
        <v>0.793513853949741</v>
      </c>
      <c r="BI116" s="0" t="n">
        <v>1.96463104075386E-005</v>
      </c>
      <c r="BJ116" s="0" t="n">
        <v>0.452662038092852</v>
      </c>
      <c r="BK116" s="0" t="n">
        <v>0</v>
      </c>
      <c r="BL116" s="0" t="n">
        <v>0</v>
      </c>
      <c r="BM116" s="0" t="n">
        <v>0</v>
      </c>
      <c r="BN116" s="0" t="e">
        <f aca="false">#REF!/#REF!</f>
        <v>#REF!</v>
      </c>
      <c r="BO116" s="0" t="n">
        <v>0</v>
      </c>
    </row>
    <row r="117" customFormat="false" ht="12.8" hidden="false" customHeight="false" outlineLevel="0" collapsed="false">
      <c r="A117" s="0" t="s">
        <v>170</v>
      </c>
      <c r="B117" s="0" t="s">
        <v>111</v>
      </c>
      <c r="C117" s="0" t="s">
        <v>51</v>
      </c>
      <c r="D117" s="0" t="s">
        <v>52</v>
      </c>
      <c r="E117" s="0" t="n">
        <v>0.4541</v>
      </c>
      <c r="F117" s="0" t="n">
        <v>3.929</v>
      </c>
      <c r="G117" s="0" t="n">
        <v>511</v>
      </c>
      <c r="H117" s="0" t="n">
        <v>461</v>
      </c>
      <c r="I117" s="0" t="s">
        <v>55</v>
      </c>
      <c r="J117" s="0" t="n">
        <v>0.0741632283</v>
      </c>
      <c r="K117" s="0" t="n">
        <v>0.1353683</v>
      </c>
      <c r="L117" s="0" t="n">
        <v>0.025799241036994</v>
      </c>
      <c r="M117" s="1" t="n">
        <v>0.0415789377007539</v>
      </c>
      <c r="N117" s="0" t="n">
        <v>0.293198830372795</v>
      </c>
      <c r="O117" s="0" t="n">
        <v>0.409800281859043</v>
      </c>
      <c r="P117" s="0" t="n">
        <v>0.313938076269597</v>
      </c>
      <c r="Q117" s="0" t="n">
        <v>0.446475881221334</v>
      </c>
      <c r="R117" s="11" t="n">
        <v>0.302532473802</v>
      </c>
      <c r="S117" s="11" t="n">
        <v>0.276733232765006</v>
      </c>
      <c r="T117" s="0" t="n">
        <v>0.000146657671231333</v>
      </c>
      <c r="U117" s="11" t="n">
        <v>0.000194985101418</v>
      </c>
      <c r="V117" s="11" t="n">
        <v>0.000349808947506333</v>
      </c>
      <c r="Z117" s="1"/>
      <c r="AA117" s="1"/>
      <c r="AB117" s="11"/>
      <c r="AJ117" s="0" t="n">
        <v>3.32215943492579</v>
      </c>
      <c r="AK117" s="0" t="n">
        <v>0.000407911433414</v>
      </c>
      <c r="AL117" s="0" t="n">
        <f aca="false">AK117-0.0000483274301866667</f>
        <v>0.000359584003227333</v>
      </c>
      <c r="AM117" s="0" t="n">
        <v>1.09566420832142</v>
      </c>
      <c r="AN117" s="0" t="n">
        <v>5.88344869369758E-022</v>
      </c>
      <c r="AO117" s="0" t="n">
        <v>0.000142271843030333</v>
      </c>
      <c r="AP117" s="0" t="n">
        <v>3.83779561721671</v>
      </c>
      <c r="AQ117" s="0" t="n">
        <v>0.000398136377693</v>
      </c>
      <c r="AR117" s="0" t="n">
        <f aca="false">AQ117-0.0000483274301866667</f>
        <v>0.000349808947506333</v>
      </c>
      <c r="AS117" s="0" t="n">
        <v>3.51365391502538</v>
      </c>
      <c r="AT117" s="0" t="n">
        <v>4.78532253998432E-022</v>
      </c>
      <c r="AU117" s="3" t="n">
        <v>0.129485658298249</v>
      </c>
      <c r="AV117" s="0" t="n">
        <v>0.0146368951825012</v>
      </c>
      <c r="AW117" s="0" t="n">
        <v>0.108090925888377</v>
      </c>
      <c r="AZ117" s="0" t="n">
        <v>0.231896362295077</v>
      </c>
      <c r="BA117" s="0" t="n">
        <v>0.209296362295077</v>
      </c>
      <c r="BC117" s="0" t="n">
        <v>0.336538076269597</v>
      </c>
      <c r="BD117" s="0" t="n">
        <v>0.313938076269597</v>
      </c>
      <c r="BE117" s="0" t="n">
        <v>0.159018424109565</v>
      </c>
      <c r="BF117" s="3" t="n">
        <v>0.113818424109565</v>
      </c>
      <c r="BG117" s="0" t="n">
        <v>0.0708795256666057</v>
      </c>
      <c r="BH117" s="0" t="n">
        <f aca="false">M117/BG117</f>
        <v>0.586614220534259</v>
      </c>
      <c r="BI117" s="0" t="n">
        <v>1.09533955359926E-024</v>
      </c>
      <c r="BJ117" s="0" t="n">
        <v>0.488692774373801</v>
      </c>
      <c r="BK117" s="0" t="n">
        <v>0.107209706210399</v>
      </c>
      <c r="BL117" s="0" t="n">
        <v>0.130690925888377</v>
      </c>
      <c r="BM117" s="0" t="n">
        <v>0.108090925888377</v>
      </c>
      <c r="BN117" s="0" t="e">
        <f aca="false">#REF!/#REF!</f>
        <v>#REF!</v>
      </c>
      <c r="BO117" s="0" t="e">
        <f aca="false">BN117-0.0226</f>
        <v>#REF!</v>
      </c>
    </row>
    <row r="118" customFormat="false" ht="12.8" hidden="false" customHeight="false" outlineLevel="0" collapsed="false">
      <c r="A118" s="0" t="s">
        <v>171</v>
      </c>
      <c r="B118" s="0" t="s">
        <v>111</v>
      </c>
      <c r="C118" s="0" t="s">
        <v>51</v>
      </c>
      <c r="D118" s="0" t="s">
        <v>52</v>
      </c>
      <c r="E118" s="0" t="n">
        <v>0.2435</v>
      </c>
      <c r="F118" s="0" t="n">
        <v>2.7025</v>
      </c>
      <c r="G118" s="0" t="n">
        <v>363</v>
      </c>
      <c r="H118" s="0" t="n">
        <v>324</v>
      </c>
      <c r="I118" s="0" t="s">
        <v>53</v>
      </c>
      <c r="J118" s="0" t="n">
        <v>0.0425981469</v>
      </c>
      <c r="K118" s="0" t="n">
        <v>0.0591971</v>
      </c>
      <c r="L118" s="0" t="n">
        <v>0.0183594843068678</v>
      </c>
      <c r="M118" s="1" t="n">
        <v>0.0317088942467428</v>
      </c>
      <c r="N118" s="0" t="n">
        <v>0.27595253716357</v>
      </c>
      <c r="O118" s="0" t="n">
        <v>0.2855838860134</v>
      </c>
      <c r="P118" s="0" t="n">
        <v>0.191360562162472</v>
      </c>
      <c r="Q118" s="0" t="n">
        <v>0.284556762077188</v>
      </c>
      <c r="R118" s="11" t="n">
        <v>0.15850956782</v>
      </c>
      <c r="S118" s="11" t="n">
        <v>0.140150083513132</v>
      </c>
      <c r="T118" s="0" t="n">
        <v>0.000111376919627333</v>
      </c>
      <c r="U118" s="11" t="n">
        <v>0.000159704349814</v>
      </c>
      <c r="V118" s="11" t="n">
        <v>0.000228111432722833</v>
      </c>
      <c r="Z118" s="1"/>
      <c r="AA118" s="1"/>
      <c r="AB118" s="11"/>
      <c r="AJ118" s="0" t="n">
        <v>2.48239245011878</v>
      </c>
      <c r="AK118" s="0" t="n">
        <v>0.000298662661255</v>
      </c>
      <c r="AL118" s="0" t="n">
        <f aca="false">AK118-0.0000483274301866667</f>
        <v>0.000250335231068333</v>
      </c>
      <c r="AM118" s="0" t="n">
        <v>0.938543028235303</v>
      </c>
      <c r="AN118" s="0" t="n">
        <v>4.369951080859E-020</v>
      </c>
      <c r="AO118" s="0" t="n">
        <v>0.000111376919627333</v>
      </c>
      <c r="AP118" s="0" t="n">
        <v>2.48239245011878</v>
      </c>
      <c r="AQ118" s="0" t="n">
        <v>0.0002764388629095</v>
      </c>
      <c r="AR118" s="0" t="n">
        <f aca="false">AQ118-0.0000483274301866667</f>
        <v>0.000228111432722833</v>
      </c>
      <c r="AS118" s="0" t="n">
        <v>0.775969166930388</v>
      </c>
      <c r="AT118" s="0" t="n">
        <v>1.87491814241859E-018</v>
      </c>
      <c r="AU118" s="3" t="n">
        <v>0.081360844400482</v>
      </c>
      <c r="AV118" s="0" t="n">
        <v>0.231913460633092</v>
      </c>
      <c r="AW118" s="0" t="n">
        <v>0.144017104403659</v>
      </c>
      <c r="AZ118" s="0" t="n">
        <v>0.4909056083566</v>
      </c>
      <c r="BA118" s="0" t="n">
        <v>0.4683056083566</v>
      </c>
      <c r="BC118" s="0" t="n">
        <v>0.213960562162472</v>
      </c>
      <c r="BD118" s="0" t="n">
        <v>0.191360562162472</v>
      </c>
      <c r="BE118" s="0" t="n">
        <v>0.134083408593472</v>
      </c>
      <c r="BF118" s="3" t="n">
        <v>0.088883408593472</v>
      </c>
      <c r="BG118" s="0" t="n">
        <v>0.0539582993436398</v>
      </c>
      <c r="BH118" s="0" t="n">
        <f aca="false">M118/BG118</f>
        <v>0.587655553130038</v>
      </c>
      <c r="BI118" s="0" t="n">
        <v>6.3004393E-012</v>
      </c>
      <c r="BJ118" s="0" t="n">
        <v>0.654237410997909</v>
      </c>
      <c r="BK118" s="0" t="n">
        <v>0.134117874565447</v>
      </c>
      <c r="BL118" s="0" t="n">
        <v>0.166617104403659</v>
      </c>
      <c r="BM118" s="0" t="n">
        <v>0.144017104403659</v>
      </c>
      <c r="BN118" s="0" t="e">
        <f aca="false">#REF!/#REF!</f>
        <v>#REF!</v>
      </c>
      <c r="BO118" s="0" t="e">
        <f aca="false">BN118-0.0226</f>
        <v>#REF!</v>
      </c>
    </row>
    <row r="119" customFormat="false" ht="12.8" hidden="false" customHeight="false" outlineLevel="0" collapsed="false">
      <c r="A119" s="0" t="s">
        <v>172</v>
      </c>
      <c r="B119" s="0" t="s">
        <v>111</v>
      </c>
      <c r="C119" s="0" t="s">
        <v>51</v>
      </c>
      <c r="D119" s="0" t="s">
        <v>52</v>
      </c>
      <c r="E119" s="0" t="n">
        <v>0.1653</v>
      </c>
      <c r="F119" s="0" t="n">
        <v>1.9843</v>
      </c>
      <c r="G119" s="0" t="n">
        <v>158</v>
      </c>
      <c r="H119" s="0" t="n">
        <v>130</v>
      </c>
      <c r="I119" s="0" t="s">
        <v>53</v>
      </c>
      <c r="J119" s="0" t="n">
        <v>0.0244572125</v>
      </c>
      <c r="K119" s="0" t="n">
        <v>0.0757823</v>
      </c>
      <c r="L119" s="0" t="n">
        <v>0.00814204349253397</v>
      </c>
      <c r="M119" s="1" t="n">
        <v>0.0401852822884369</v>
      </c>
      <c r="N119" s="0" t="n">
        <v>0.18341485354485</v>
      </c>
      <c r="O119" s="0" t="n">
        <v>0.204618700742041</v>
      </c>
      <c r="P119" s="0" t="n">
        <v>0.161769963010237</v>
      </c>
      <c r="Q119" s="0" t="n">
        <v>0.17753178546605</v>
      </c>
      <c r="R119" s="11" t="n">
        <v>0.0589378784016</v>
      </c>
      <c r="S119" s="11" t="n">
        <v>0.050795834909066</v>
      </c>
      <c r="T119" s="0" t="n">
        <v>0.000152482272973333</v>
      </c>
      <c r="U119" s="11" t="n">
        <v>0.00020080970316</v>
      </c>
      <c r="V119" s="11" t="n">
        <v>0.000294578783303833</v>
      </c>
      <c r="Z119" s="1"/>
      <c r="AA119" s="1"/>
      <c r="AB119" s="11"/>
      <c r="AJ119" s="0" t="n">
        <v>0.68807205844501</v>
      </c>
      <c r="AK119" s="0" t="n">
        <v>0.0003429062134905</v>
      </c>
      <c r="AL119" s="0" t="n">
        <f aca="false">AK119-0.0000483274301866667</f>
        <v>0.000294578783303833</v>
      </c>
      <c r="AM119" s="0" t="n">
        <v>-0.145405990929533</v>
      </c>
      <c r="AN119" s="0" t="n">
        <v>0.000688738116489307</v>
      </c>
      <c r="AO119" s="0" t="n">
        <v>0.000152482272973333</v>
      </c>
      <c r="AP119" s="0" t="n">
        <v>0.68807205844501</v>
      </c>
      <c r="AQ119" s="0" t="n">
        <v>0.0003429062134905</v>
      </c>
      <c r="AR119" s="0" t="n">
        <f aca="false">AQ119-0.0000483274301866667</f>
        <v>0.000294578783303833</v>
      </c>
      <c r="AS119" s="0" t="n">
        <v>-0.145405990929533</v>
      </c>
      <c r="AT119" s="0" t="n">
        <v>0.00137747623297861</v>
      </c>
      <c r="AU119" s="3" t="n">
        <v>0.060670122607318</v>
      </c>
      <c r="AV119" s="0" t="n">
        <v>0.225243826379507</v>
      </c>
      <c r="AW119" s="0" t="n">
        <v>0.093396922428004</v>
      </c>
      <c r="AZ119" s="0" t="n">
        <v>0.254086790037572</v>
      </c>
      <c r="BA119" s="0" t="n">
        <v>0.231486790037572</v>
      </c>
      <c r="BC119" s="0" t="n">
        <v>0.184369963010237</v>
      </c>
      <c r="BD119" s="0" t="n">
        <v>0.161769963010237</v>
      </c>
      <c r="BE119" s="0" t="n">
        <v>0.0955439291876353</v>
      </c>
      <c r="BF119" s="3" t="n">
        <v>0.0503439291876353</v>
      </c>
      <c r="BG119" s="0" t="n">
        <v>0.0512176593984278</v>
      </c>
      <c r="BH119" s="0" t="n">
        <f aca="false">M119/BG119</f>
        <v>0.784598178839669</v>
      </c>
      <c r="BI119" s="0" t="n">
        <v>0.0097619020587013</v>
      </c>
      <c r="BJ119" s="0" t="n">
        <v>0.56708272452384</v>
      </c>
      <c r="BK119" s="0" t="n">
        <v>0.090487019490232</v>
      </c>
      <c r="BL119" s="0" t="n">
        <v>0.115996922428004</v>
      </c>
      <c r="BM119" s="0" t="n">
        <v>0.093396922428004</v>
      </c>
      <c r="BN119" s="0" t="e">
        <f aca="false">#REF!/#REF!</f>
        <v>#REF!</v>
      </c>
      <c r="BO119" s="0" t="e">
        <f aca="false">BN119-0.0226</f>
        <v>#REF!</v>
      </c>
    </row>
    <row r="120" customFormat="false" ht="12.8" hidden="false" customHeight="false" outlineLevel="0" collapsed="false">
      <c r="A120" s="12" t="s">
        <v>173</v>
      </c>
      <c r="B120" s="0" t="s">
        <v>111</v>
      </c>
      <c r="C120" s="0" t="s">
        <v>51</v>
      </c>
      <c r="D120" s="0" t="s">
        <v>52</v>
      </c>
      <c r="E120" s="18" t="n">
        <v>0.2074</v>
      </c>
      <c r="F120" s="18" t="n">
        <v>2.3565</v>
      </c>
      <c r="G120" s="0" t="n">
        <v>218</v>
      </c>
      <c r="H120" s="0" t="n">
        <v>189</v>
      </c>
      <c r="I120" s="0" t="s">
        <v>53</v>
      </c>
      <c r="J120" s="18" t="n">
        <v>0.028154</v>
      </c>
      <c r="K120" s="18" t="n">
        <v>0.121782</v>
      </c>
      <c r="L120" s="18" t="n">
        <v>0.0110239638804415</v>
      </c>
      <c r="M120" s="1" t="n">
        <v>0.0304918250122231</v>
      </c>
      <c r="N120" s="0" t="n">
        <v>0.148654849352025</v>
      </c>
      <c r="O120" s="0" t="n">
        <v>0.201694925550226</v>
      </c>
      <c r="P120" s="18" t="n">
        <v>0.143201890223211</v>
      </c>
      <c r="Q120" s="0" t="n">
        <v>0.179617617039866</v>
      </c>
      <c r="R120" s="11" t="n">
        <v>0.0545120143706</v>
      </c>
      <c r="S120" s="11" t="n">
        <v>0.0434880504901585</v>
      </c>
      <c r="T120" s="0" t="n">
        <v>0.000103454714378333</v>
      </c>
      <c r="U120" s="11" t="n">
        <v>0.000151782144565</v>
      </c>
      <c r="V120" s="11" t="n">
        <v>0.000147654898836333</v>
      </c>
      <c r="Z120" s="1"/>
      <c r="AA120" s="1"/>
      <c r="AB120" s="11"/>
      <c r="AJ120" s="0" t="n">
        <v>1.23439342906934</v>
      </c>
      <c r="AK120" s="0" t="n">
        <v>0.000195982329023</v>
      </c>
      <c r="AL120" s="0" t="n">
        <f aca="false">AK120-0.0000483274301866667</f>
        <v>0.000147654898836333</v>
      </c>
      <c r="AM120" s="0" t="n">
        <v>0.143951429815294</v>
      </c>
      <c r="AN120" s="0" t="n">
        <v>0.000992058529208174</v>
      </c>
      <c r="AO120" s="0" t="n">
        <v>0.000103454714378333</v>
      </c>
      <c r="AP120" s="0" t="n">
        <v>1.23439342906934</v>
      </c>
      <c r="AQ120" s="0" t="n">
        <v>0.000195982329023</v>
      </c>
      <c r="AR120" s="0" t="n">
        <f aca="false">AQ120-0.0000483274301866667</f>
        <v>0.000147654898836333</v>
      </c>
      <c r="AS120" s="0" t="n">
        <v>0.143951429815294</v>
      </c>
      <c r="AT120" s="0" t="n">
        <v>0.00198411705841635</v>
      </c>
      <c r="AU120" s="3" t="n">
        <v>0.0447839611502206</v>
      </c>
      <c r="AV120" s="0" t="n">
        <v>0.215068623336082</v>
      </c>
      <c r="AW120" s="0" t="n">
        <v>0</v>
      </c>
      <c r="AZ120" s="0" t="n">
        <v>0.242370486768364</v>
      </c>
      <c r="BA120" s="0" t="n">
        <v>0.219770486768364</v>
      </c>
      <c r="BC120" s="0" t="n">
        <v>0.165801890223211</v>
      </c>
      <c r="BD120" s="0" t="n">
        <v>0.143201890223211</v>
      </c>
      <c r="BE120" s="0" t="n">
        <v>0.0938402144721409</v>
      </c>
      <c r="BF120" s="3" t="n">
        <v>0.0486402144721409</v>
      </c>
      <c r="BG120" s="0" t="n">
        <v>0.0373041311330687</v>
      </c>
      <c r="BH120" s="0" t="n">
        <f aca="false">M120/BG120</f>
        <v>0.817384672583709</v>
      </c>
      <c r="BI120" s="0" t="n">
        <v>0.00458863683808977</v>
      </c>
      <c r="BJ120" s="0" t="n">
        <v>0.552614234128447</v>
      </c>
      <c r="BK120" s="0" t="n">
        <v>0</v>
      </c>
      <c r="BL120" s="0" t="n">
        <v>0</v>
      </c>
      <c r="BM120" s="0" t="n">
        <v>0</v>
      </c>
      <c r="BN120" s="0" t="e">
        <f aca="false">#REF!/#REF!</f>
        <v>#REF!</v>
      </c>
      <c r="BO120" s="0" t="n">
        <v>0</v>
      </c>
    </row>
    <row r="121" customFormat="false" ht="12.8" hidden="false" customHeight="false" outlineLevel="0" collapsed="false">
      <c r="A121" s="0" t="s">
        <v>174</v>
      </c>
      <c r="B121" s="0" t="s">
        <v>111</v>
      </c>
      <c r="C121" s="0" t="s">
        <v>51</v>
      </c>
      <c r="D121" s="0" t="s">
        <v>52</v>
      </c>
      <c r="E121" s="0" t="n">
        <v>0.3829</v>
      </c>
      <c r="F121" s="0" t="n">
        <v>3.572</v>
      </c>
      <c r="G121" s="0" t="n">
        <v>447</v>
      </c>
      <c r="H121" s="0" t="n">
        <v>417</v>
      </c>
      <c r="I121" s="0" t="s">
        <v>55</v>
      </c>
      <c r="J121" s="0" t="n">
        <v>0.0494734076</v>
      </c>
      <c r="K121" s="0" t="n">
        <v>0.130899</v>
      </c>
      <c r="L121" s="0" t="n">
        <v>0.02260024549657</v>
      </c>
      <c r="M121" s="1" t="n">
        <v>0.0392926791535338</v>
      </c>
      <c r="N121" s="0" t="n">
        <v>0.290894537823167</v>
      </c>
      <c r="O121" s="0" t="n">
        <v>0.30993880252009</v>
      </c>
      <c r="P121" s="0" t="n">
        <v>0.223531189564989</v>
      </c>
      <c r="Q121" s="0" t="n">
        <v>0.302254893826189</v>
      </c>
      <c r="R121" s="11" t="n">
        <v>0.270192425332</v>
      </c>
      <c r="S121" s="11" t="n">
        <v>0.24759217983543</v>
      </c>
      <c r="T121" s="0" t="n">
        <v>0.000184225887920333</v>
      </c>
      <c r="U121" s="11" t="n">
        <v>0.000232553318107</v>
      </c>
      <c r="V121" s="11" t="n">
        <v>0.000383849579024833</v>
      </c>
      <c r="Z121" s="1"/>
      <c r="AA121" s="1"/>
      <c r="AB121" s="11"/>
      <c r="AJ121" s="0" t="n">
        <v>2.74197164173859</v>
      </c>
      <c r="AK121" s="0" t="n">
        <v>0.000482673473815</v>
      </c>
      <c r="AL121" s="0" t="n">
        <f aca="false">AK121-0.0000483274301866667</f>
        <v>0.000434346043628333</v>
      </c>
      <c r="AM121" s="0" t="n">
        <v>0.463144531381439</v>
      </c>
      <c r="AN121" s="0" t="n">
        <v>3.21356937909622E-031</v>
      </c>
      <c r="AO121" s="0" t="n">
        <v>0.000182863444745333</v>
      </c>
      <c r="AP121" s="0" t="n">
        <v>1.66223421990909</v>
      </c>
      <c r="AQ121" s="0" t="n">
        <v>0.0004321770092115</v>
      </c>
      <c r="AR121" s="0" t="n">
        <f aca="false">AQ121-0.0000483274301866667</f>
        <v>0.000383849579024833</v>
      </c>
      <c r="AS121" s="0" t="n">
        <v>0.72840817631576</v>
      </c>
      <c r="AT121" s="0" t="n">
        <v>3.00919147556634E-025</v>
      </c>
      <c r="AU121" s="3" t="n">
        <v>0.135142909700231</v>
      </c>
      <c r="AV121" s="0" t="n">
        <v>0.0181418122601727</v>
      </c>
      <c r="AW121" s="0" t="n">
        <v>0.154691792445557</v>
      </c>
      <c r="AZ121" s="0" t="n">
        <v>0.315123887333324</v>
      </c>
      <c r="BA121" s="0" t="n">
        <v>0.292523887333324</v>
      </c>
      <c r="BC121" s="0" t="n">
        <v>0.246131189564989</v>
      </c>
      <c r="BD121" s="0" t="n">
        <v>0.223531189564989</v>
      </c>
      <c r="BE121" s="0" t="n">
        <v>0.171478233934452</v>
      </c>
      <c r="BF121" s="3" t="n">
        <v>0.126278233934452</v>
      </c>
      <c r="BG121" s="0" t="n">
        <v>0.0687503935823544</v>
      </c>
      <c r="BH121" s="0" t="n">
        <f aca="false">M121/BG121</f>
        <v>0.571526606701765</v>
      </c>
      <c r="BI121" s="0" t="n">
        <v>6.47641504973022E-029</v>
      </c>
      <c r="BJ121" s="0" t="n">
        <v>0.701900843561862</v>
      </c>
      <c r="BK121" s="0" t="n">
        <v>0.117018397860716</v>
      </c>
      <c r="BL121" s="0" t="n">
        <v>0.177291792445557</v>
      </c>
      <c r="BM121" s="0" t="n">
        <v>0.154691792445557</v>
      </c>
      <c r="BN121" s="0" t="e">
        <f aca="false">#REF!/#REF!</f>
        <v>#REF!</v>
      </c>
      <c r="BO121" s="0" t="e">
        <f aca="false">BN121-0.0226</f>
        <v>#REF!</v>
      </c>
    </row>
    <row r="122" customFormat="false" ht="12.8" hidden="false" customHeight="false" outlineLevel="0" collapsed="false">
      <c r="A122" s="0" t="s">
        <v>175</v>
      </c>
      <c r="B122" s="0" t="s">
        <v>111</v>
      </c>
      <c r="C122" s="0" t="s">
        <v>51</v>
      </c>
      <c r="D122" s="0" t="s">
        <v>52</v>
      </c>
      <c r="E122" s="0" t="n">
        <v>0.2352</v>
      </c>
      <c r="F122" s="0" t="n">
        <v>2.2303</v>
      </c>
      <c r="G122" s="0" t="n">
        <v>245</v>
      </c>
      <c r="H122" s="0" t="n">
        <v>214</v>
      </c>
      <c r="I122" s="0" t="s">
        <v>53</v>
      </c>
      <c r="J122" s="0" t="n">
        <v>0.0358038135</v>
      </c>
      <c r="K122" s="0" t="n">
        <v>0.0479166</v>
      </c>
      <c r="L122" s="0" t="n">
        <v>0.0123947488124137</v>
      </c>
      <c r="M122" s="1" t="n">
        <v>0.0355674061280343</v>
      </c>
      <c r="N122" s="0" t="n">
        <v>0.214891507638147</v>
      </c>
      <c r="O122" s="0" t="n">
        <v>0.233827874480845</v>
      </c>
      <c r="P122" s="0" t="n">
        <v>0.169485166424196</v>
      </c>
      <c r="Q122" s="0" t="n">
        <v>0.225675318077423</v>
      </c>
      <c r="R122" s="11" t="n">
        <v>0.092147644986</v>
      </c>
      <c r="S122" s="11" t="n">
        <v>0.0797528961735863</v>
      </c>
      <c r="T122" s="0" t="n">
        <v>0.000162615899240833</v>
      </c>
      <c r="U122" s="11" t="n">
        <v>0.0002109433294275</v>
      </c>
      <c r="V122" s="11" t="n">
        <v>0.000255868194492333</v>
      </c>
      <c r="Z122" s="1"/>
      <c r="AA122" s="1"/>
      <c r="AB122" s="11"/>
      <c r="AJ122" s="0" t="n">
        <v>0.293098850413443</v>
      </c>
      <c r="AK122" s="0" t="n">
        <v>0.000304195624679</v>
      </c>
      <c r="AL122" s="0" t="n">
        <f aca="false">AK122-0.0000483274301866667</f>
        <v>0.000255868194492333</v>
      </c>
      <c r="AM122" s="0" t="n">
        <v>0.393156979943809</v>
      </c>
      <c r="AN122" s="0" t="n">
        <v>1.2748081829515E-007</v>
      </c>
      <c r="AO122" s="0" t="n">
        <v>0.000162615899240833</v>
      </c>
      <c r="AP122" s="0" t="n">
        <v>0.293098850413443</v>
      </c>
      <c r="AQ122" s="0" t="n">
        <v>0.000304195624679</v>
      </c>
      <c r="AR122" s="0" t="n">
        <f aca="false">AQ122-0.0000483274301866667</f>
        <v>0.000255868194492333</v>
      </c>
      <c r="AS122" s="0" t="n">
        <v>0.393156979943809</v>
      </c>
      <c r="AT122" s="0" t="n">
        <v>2.5496163659029E-007</v>
      </c>
      <c r="AU122" s="3" t="n">
        <v>0.062366370246486</v>
      </c>
      <c r="AV122" s="0" t="n">
        <v>0.175068239021099</v>
      </c>
      <c r="AW122" s="0" t="n">
        <v>0.122160233824313</v>
      </c>
      <c r="AZ122" s="0" t="n">
        <v>0.25698799731893</v>
      </c>
      <c r="BA122" s="0" t="n">
        <v>0.23438799731893</v>
      </c>
      <c r="BC122" s="0" t="n">
        <v>0.192085166424196</v>
      </c>
      <c r="BD122" s="0" t="n">
        <v>0.169485166424196</v>
      </c>
      <c r="BE122" s="0" t="n">
        <v>0.0984850386311205</v>
      </c>
      <c r="BF122" s="3" t="n">
        <v>0.0532850386311205</v>
      </c>
      <c r="BG122" s="0" t="n">
        <v>0.0531617802817163</v>
      </c>
      <c r="BH122" s="0" t="n">
        <f aca="false">M122/BG122</f>
        <v>0.669040915100182</v>
      </c>
      <c r="BI122" s="0" t="n">
        <v>4.38253299172E-009</v>
      </c>
      <c r="BJ122" s="0" t="n">
        <v>0.541192219446267</v>
      </c>
      <c r="BK122" s="0" t="n">
        <v>0.148284176902181</v>
      </c>
      <c r="BL122" s="0" t="n">
        <v>0.144760233824313</v>
      </c>
      <c r="BM122" s="0" t="n">
        <v>0.122160233824313</v>
      </c>
      <c r="BN122" s="0" t="e">
        <f aca="false">#REF!/#REF!</f>
        <v>#REF!</v>
      </c>
      <c r="BO122" s="0" t="e">
        <f aca="false">BN122-0.0226</f>
        <v>#REF!</v>
      </c>
    </row>
    <row r="123" customFormat="false" ht="12.8" hidden="false" customHeight="false" outlineLevel="0" collapsed="false">
      <c r="A123" s="0" t="s">
        <v>176</v>
      </c>
      <c r="B123" s="0" t="s">
        <v>111</v>
      </c>
      <c r="C123" s="0" t="s">
        <v>51</v>
      </c>
      <c r="D123" s="0" t="s">
        <v>52</v>
      </c>
      <c r="E123" s="0" t="n">
        <v>0.1374</v>
      </c>
      <c r="F123" s="0" t="n">
        <v>1.6668</v>
      </c>
      <c r="G123" s="0" t="n">
        <v>120</v>
      </c>
      <c r="H123" s="0" t="n">
        <v>88</v>
      </c>
      <c r="I123" s="0" t="s">
        <v>53</v>
      </c>
      <c r="J123" s="0" t="n">
        <v>0.0214472432</v>
      </c>
      <c r="K123" s="0" t="n">
        <v>0.0416425</v>
      </c>
      <c r="L123" s="0" t="n">
        <v>0.00606916070768027</v>
      </c>
      <c r="M123" s="1" t="n">
        <v>0.0498163877352029</v>
      </c>
      <c r="N123" s="0" t="n">
        <v>0.060209162330666</v>
      </c>
      <c r="O123" s="0" t="n">
        <v>0.219965989711695</v>
      </c>
      <c r="P123" s="0" t="n">
        <v>0.162988046163537</v>
      </c>
      <c r="Q123" s="0" t="n">
        <v>0.161451386174103</v>
      </c>
      <c r="R123" s="11" t="n">
        <v>0.0438225700944</v>
      </c>
      <c r="S123" s="11" t="n">
        <v>0.0377534093867197</v>
      </c>
      <c r="T123" s="0" t="n">
        <v>0.000164161383925333</v>
      </c>
      <c r="U123" s="11" t="n">
        <v>0.000212488814112</v>
      </c>
      <c r="V123" s="11" t="n">
        <v>0.000255793774969333</v>
      </c>
      <c r="Z123" s="1"/>
      <c r="AA123" s="1"/>
      <c r="AB123" s="11"/>
      <c r="AJ123" s="0" t="n">
        <v>2.35505251445836</v>
      </c>
      <c r="AK123" s="0" t="n">
        <v>0.000304121205156</v>
      </c>
      <c r="AL123" s="0" t="n">
        <f aca="false">AK123-0.0000483274301866667</f>
        <v>0.000255793774969333</v>
      </c>
      <c r="AM123" s="0" t="n">
        <v>-0.335228684698998</v>
      </c>
      <c r="AN123" s="0" t="n">
        <v>0.0766422360184007</v>
      </c>
      <c r="AO123" s="0" t="n">
        <v>0.000164161383925333</v>
      </c>
      <c r="AP123" s="0" t="n">
        <v>2.35505251445836</v>
      </c>
      <c r="AQ123" s="0" t="n">
        <v>0.000304121205156</v>
      </c>
      <c r="AR123" s="0" t="n">
        <f aca="false">AQ123-0.0000483274301866667</f>
        <v>0.000255793774969333</v>
      </c>
      <c r="AS123" s="0" t="n">
        <v>-0.335228684698998</v>
      </c>
      <c r="AT123" s="0" t="n">
        <v>0.153284472036801</v>
      </c>
      <c r="AU123" s="3" t="n">
        <v>0.04640245008064</v>
      </c>
      <c r="AV123" s="0" t="n">
        <v>0.482889363345116</v>
      </c>
      <c r="AW123" s="0" t="n">
        <v>0.086019569675271</v>
      </c>
      <c r="AZ123" s="0" t="n">
        <v>0.0526324992434649</v>
      </c>
      <c r="BA123" s="0" t="n">
        <v>0.0300324992434649</v>
      </c>
      <c r="BC123" s="0" t="n">
        <v>0.185588046163537</v>
      </c>
      <c r="BD123" s="0" t="n">
        <v>0.162988046163537</v>
      </c>
      <c r="BE123" s="0" t="n">
        <v>0.083923865991461</v>
      </c>
      <c r="BF123" s="3" t="n">
        <v>0.038723865991461</v>
      </c>
      <c r="BG123" s="0" t="n">
        <v>0.0562357996145005</v>
      </c>
      <c r="BH123" s="0" t="n">
        <f aca="false">M123/BG123</f>
        <v>0.885848304402124</v>
      </c>
      <c r="BI123" s="0" t="n">
        <v>0.0715461662408249</v>
      </c>
      <c r="BJ123" s="0" t="n">
        <v>0.456999516411963</v>
      </c>
      <c r="BK123" s="0" t="n">
        <v>0.0671347408863057</v>
      </c>
      <c r="BL123" s="0" t="n">
        <v>0.108619569675271</v>
      </c>
      <c r="BM123" s="0" t="n">
        <v>0.086019569675271</v>
      </c>
      <c r="BN123" s="0" t="e">
        <f aca="false">#REF!/#REF!</f>
        <v>#REF!</v>
      </c>
      <c r="BO123" s="0" t="e">
        <f aca="false">BN123-0.0226</f>
        <v>#REF!</v>
      </c>
    </row>
    <row r="124" customFormat="false" ht="12.8" hidden="false" customHeight="false" outlineLevel="0" collapsed="false">
      <c r="A124" s="0" t="s">
        <v>177</v>
      </c>
      <c r="B124" s="0" t="s">
        <v>111</v>
      </c>
      <c r="C124" s="0" t="s">
        <v>59</v>
      </c>
      <c r="D124" s="0" t="s">
        <v>52</v>
      </c>
      <c r="E124" s="0" t="n">
        <v>0.1266</v>
      </c>
      <c r="F124" s="0" t="n">
        <v>1.4375</v>
      </c>
      <c r="G124" s="0" t="n">
        <v>157</v>
      </c>
      <c r="H124" s="0" t="n">
        <v>126</v>
      </c>
      <c r="I124" s="0" t="s">
        <v>53</v>
      </c>
      <c r="J124" s="0" t="n">
        <v>0</v>
      </c>
      <c r="K124" s="0" t="n">
        <v>0.0569936</v>
      </c>
      <c r="L124" s="0" t="n">
        <v>0.00597419147501985</v>
      </c>
      <c r="M124" s="1" t="n">
        <v>0.0455029694367709</v>
      </c>
      <c r="N124" s="0" t="n">
        <v>0.189451510758922</v>
      </c>
      <c r="O124" s="0" t="n">
        <v>0.225749897259607</v>
      </c>
      <c r="P124" s="0" t="n">
        <v>0.184758125920216</v>
      </c>
      <c r="Q124" s="0" t="n">
        <v>0.184815942665035</v>
      </c>
      <c r="R124" s="11" t="n">
        <v>0.0684455437567</v>
      </c>
      <c r="S124" s="11" t="n">
        <v>0.0624713522816801</v>
      </c>
      <c r="T124" s="0" t="n">
        <v>0.0002061096173375</v>
      </c>
      <c r="U124" s="11" t="n">
        <v>0.0002432442746975</v>
      </c>
      <c r="V124" s="11" t="n">
        <v>0.000303603224343</v>
      </c>
      <c r="Z124" s="1"/>
      <c r="AA124" s="1"/>
      <c r="AB124" s="11"/>
      <c r="AJ124" s="0" t="n">
        <v>0.969943107699817</v>
      </c>
      <c r="AK124" s="0" t="n">
        <v>0.000340737881703</v>
      </c>
      <c r="AL124" s="0" t="n">
        <f aca="false">AK124-0.00003713465736</f>
        <v>0.000303603224343</v>
      </c>
      <c r="AM124" s="0" t="n">
        <v>0.325148309517633</v>
      </c>
      <c r="AN124" s="0" t="n">
        <v>0.00203067629827566</v>
      </c>
      <c r="AO124" s="0" t="n">
        <v>0.0002061096173375</v>
      </c>
      <c r="AP124" s="0" t="n">
        <v>0.969943107699817</v>
      </c>
      <c r="AQ124" s="0" t="n">
        <v>0.000340737881703</v>
      </c>
      <c r="AR124" s="0" t="n">
        <f aca="false">AQ124-0.00003713465736</f>
        <v>0.000303603224343</v>
      </c>
      <c r="AS124" s="0" t="n">
        <v>0.325148309517633</v>
      </c>
      <c r="AT124" s="0" t="n">
        <v>0.00406135259655133</v>
      </c>
      <c r="AU124" s="3" t="n">
        <v>0.063916946551472</v>
      </c>
      <c r="AV124" s="0" t="n">
        <v>0.297535463307852</v>
      </c>
      <c r="AW124" s="0" t="n">
        <v>0</v>
      </c>
      <c r="AZ124" s="0" t="n">
        <v>0.238280231579412</v>
      </c>
      <c r="BA124" s="0" t="n">
        <v>0.217580231579412</v>
      </c>
      <c r="BC124" s="0" t="n">
        <v>0.205458125920216</v>
      </c>
      <c r="BD124" s="0" t="n">
        <v>0.184758125920216</v>
      </c>
      <c r="BE124" s="0" t="n">
        <v>0.101530326631492</v>
      </c>
      <c r="BF124" s="3" t="n">
        <v>0.060130326631492</v>
      </c>
      <c r="BG124" s="0" t="n">
        <v>0.059455452846106</v>
      </c>
      <c r="BH124" s="0" t="n">
        <f aca="false">M124/BG124</f>
        <v>0.765328784132726</v>
      </c>
      <c r="BI124" s="0" t="n">
        <v>5.81319834588822E-005</v>
      </c>
      <c r="BJ124" s="0" t="n">
        <v>0.528646785471893</v>
      </c>
      <c r="BK124" s="0" t="n">
        <v>0</v>
      </c>
      <c r="BL124" s="0" t="n">
        <v>0</v>
      </c>
      <c r="BM124" s="0" t="n">
        <v>0</v>
      </c>
      <c r="BN124" s="0" t="e">
        <f aca="false">#REF!/#REF!</f>
        <v>#REF!</v>
      </c>
      <c r="BO124" s="0" t="n">
        <v>0</v>
      </c>
    </row>
    <row r="125" customFormat="false" ht="12.8" hidden="false" customHeight="false" outlineLevel="0" collapsed="false">
      <c r="A125" s="0" t="s">
        <v>178</v>
      </c>
      <c r="B125" s="0" t="s">
        <v>111</v>
      </c>
      <c r="C125" s="0" t="s">
        <v>51</v>
      </c>
      <c r="D125" s="0" t="s">
        <v>52</v>
      </c>
      <c r="E125" s="0" t="n">
        <v>0.276</v>
      </c>
      <c r="F125" s="0" t="n">
        <v>2.956</v>
      </c>
      <c r="G125" s="0" t="n">
        <v>321</v>
      </c>
      <c r="H125" s="0" t="n">
        <v>282</v>
      </c>
      <c r="I125" s="0" t="s">
        <v>53</v>
      </c>
      <c r="J125" s="0" t="n">
        <v>0.030987097</v>
      </c>
      <c r="K125" s="0" t="n">
        <v>0.0926082</v>
      </c>
      <c r="L125" s="0" t="n">
        <v>0.0161366394329058</v>
      </c>
      <c r="M125" s="1" t="n">
        <v>0.0384841044342741</v>
      </c>
      <c r="N125" s="0" t="n">
        <v>0.50343656355162</v>
      </c>
      <c r="O125" s="0" t="n">
        <v>0.305160737219027</v>
      </c>
      <c r="P125" s="0" t="n">
        <v>0.19712655802743</v>
      </c>
      <c r="Q125" s="0" t="n">
        <v>0.461682921660388</v>
      </c>
      <c r="R125" s="11" t="n">
        <v>0.15759042511</v>
      </c>
      <c r="S125" s="11" t="n">
        <v>0.141453785677094</v>
      </c>
      <c r="T125" s="0" t="n">
        <v>0.000153475180577833</v>
      </c>
      <c r="U125" s="11" t="n">
        <v>0.0002018026107645</v>
      </c>
      <c r="V125" s="11" t="n">
        <v>0.000307853615609333</v>
      </c>
      <c r="Z125" s="1"/>
      <c r="AA125" s="1"/>
      <c r="AB125" s="11"/>
      <c r="AJ125" s="0" t="n">
        <v>1.12478572659005</v>
      </c>
      <c r="AK125" s="0" t="n">
        <v>0.000368283075605</v>
      </c>
      <c r="AL125" s="0" t="n">
        <f aca="false">AK125-0.0000483274301866667</f>
        <v>0.000319955645418333</v>
      </c>
      <c r="AM125" s="0" t="n">
        <v>0.770401637288994</v>
      </c>
      <c r="AN125" s="0" t="n">
        <v>4.42521859222772E-019</v>
      </c>
      <c r="AO125" s="0" t="n">
        <v>0.000151162940511333</v>
      </c>
      <c r="AP125" s="0" t="n">
        <v>1.1364843030987</v>
      </c>
      <c r="AQ125" s="0" t="n">
        <v>0.000356181045796</v>
      </c>
      <c r="AR125" s="0" t="n">
        <f aca="false">AQ125-0.0000483274301866667</f>
        <v>0.000307853615609333</v>
      </c>
      <c r="AS125" s="0" t="n">
        <v>0.787015561450756</v>
      </c>
      <c r="AT125" s="0" t="n">
        <v>3.39615083221455E-016</v>
      </c>
      <c r="AU125" s="3" t="n">
        <v>0.101403782629964</v>
      </c>
      <c r="AV125" s="0" t="n">
        <v>0.458121434646822</v>
      </c>
      <c r="AW125" s="0" t="n">
        <v>0.194679047329627</v>
      </c>
      <c r="AZ125" s="0" t="n">
        <v>0.693893230358061</v>
      </c>
      <c r="BA125" s="0" t="n">
        <v>0.671293230358061</v>
      </c>
      <c r="BC125" s="0" t="n">
        <v>0.21972655802743</v>
      </c>
      <c r="BD125" s="0" t="n">
        <v>0.19712655802743</v>
      </c>
      <c r="BE125" s="0" t="n">
        <v>0.147901665732351</v>
      </c>
      <c r="BF125" s="3" t="n">
        <v>0.102701665732351</v>
      </c>
      <c r="BG125" s="0" t="n">
        <v>0.0608134834400296</v>
      </c>
      <c r="BH125" s="0" t="n">
        <f aca="false">M125/BG125</f>
        <v>0.632821904902466</v>
      </c>
      <c r="BI125" s="0" t="n">
        <v>1.914896727E-011</v>
      </c>
      <c r="BJ125" s="0" t="n">
        <v>0.708199531321337</v>
      </c>
      <c r="BK125" s="0" t="n">
        <v>0.257614759487447</v>
      </c>
      <c r="BL125" s="0" t="n">
        <v>0.217279047329627</v>
      </c>
      <c r="BM125" s="0" t="n">
        <v>0.194679047329627</v>
      </c>
      <c r="BN125" s="0" t="e">
        <f aca="false">#REF!/#REF!</f>
        <v>#REF!</v>
      </c>
      <c r="BO125" s="0" t="e">
        <f aca="false">BN125-0.0226</f>
        <v>#REF!</v>
      </c>
    </row>
    <row r="126" customFormat="false" ht="12.8" hidden="false" customHeight="false" outlineLevel="0" collapsed="false">
      <c r="A126" s="0" t="s">
        <v>179</v>
      </c>
      <c r="B126" s="0" t="s">
        <v>111</v>
      </c>
      <c r="C126" s="0" t="s">
        <v>51</v>
      </c>
      <c r="D126" s="0" t="s">
        <v>52</v>
      </c>
      <c r="E126" s="0" t="n">
        <v>0.4775</v>
      </c>
      <c r="F126" s="0" t="n">
        <v>3.4678</v>
      </c>
      <c r="G126" s="0" t="n">
        <v>133</v>
      </c>
      <c r="H126" s="0" t="n">
        <v>97</v>
      </c>
      <c r="I126" s="0" t="s">
        <v>53</v>
      </c>
      <c r="J126" s="0" t="n">
        <v>0.0945427045</v>
      </c>
      <c r="K126" s="0" t="n">
        <v>0.111061</v>
      </c>
      <c r="L126" s="0" t="n">
        <v>0.00672726243916056</v>
      </c>
      <c r="M126" s="1" t="n">
        <v>0.0615743601840843</v>
      </c>
      <c r="N126" s="0" t="n">
        <v>0.0557777035333545</v>
      </c>
      <c r="O126" s="0" t="n">
        <v>0.267380988101953</v>
      </c>
      <c r="P126" s="0" t="n">
        <v>0.2161135263841</v>
      </c>
      <c r="Q126" s="0" t="n">
        <v>0.114254334320419</v>
      </c>
      <c r="R126" s="11" t="n">
        <v>0.073687816316</v>
      </c>
      <c r="S126" s="11" t="n">
        <v>0.0669605538768394</v>
      </c>
      <c r="T126" s="0" t="n">
        <v>0.000236335349467333</v>
      </c>
      <c r="U126" s="11" t="n">
        <v>0.000284662779654</v>
      </c>
      <c r="V126" s="11" t="n">
        <v>0.000292777719094333</v>
      </c>
      <c r="Z126" s="1"/>
      <c r="AA126" s="1"/>
      <c r="AB126" s="11"/>
      <c r="AJ126" s="0" t="n">
        <v>-0.0278003468656063</v>
      </c>
      <c r="AK126" s="0" t="n">
        <v>0.000341105149281</v>
      </c>
      <c r="AL126" s="0" t="n">
        <f aca="false">AK126-0.0000483274301866667</f>
        <v>0.000292777719094333</v>
      </c>
      <c r="AM126" s="0" t="n">
        <v>-0.447182043400716</v>
      </c>
      <c r="AN126" s="0" t="n">
        <v>0.429841897599333</v>
      </c>
      <c r="AO126" s="0" t="n">
        <v>0.000236335349467333</v>
      </c>
      <c r="AP126" s="0" t="n">
        <v>-0.0278003468656063</v>
      </c>
      <c r="AQ126" s="0" t="n">
        <v>0.000341105149281</v>
      </c>
      <c r="AR126" s="0" t="n">
        <f aca="false">AQ126-0.0000483274301866667</f>
        <v>0.000292777719094333</v>
      </c>
      <c r="AS126" s="0" t="n">
        <v>-0.447182043400716</v>
      </c>
      <c r="AT126" s="0" t="n">
        <v>0.863936063936064</v>
      </c>
      <c r="AU126" s="3" t="n">
        <v>0.0512577035332075</v>
      </c>
      <c r="AV126" s="0" t="n">
        <v>0.0325990173856985</v>
      </c>
      <c r="AW126" s="0" t="n">
        <v>0.0773335385672359</v>
      </c>
      <c r="AZ126" s="0" t="n">
        <v>0.0559140450664747</v>
      </c>
      <c r="BA126" s="0" t="n">
        <v>0.0333140450664747</v>
      </c>
      <c r="BC126" s="0" t="n">
        <v>0.2387135263841</v>
      </c>
      <c r="BD126" s="0" t="n">
        <v>0.2161135263841</v>
      </c>
      <c r="BE126" s="0" t="n">
        <v>0.08052680298661</v>
      </c>
      <c r="BF126" s="3" t="n">
        <v>0.03532680298661</v>
      </c>
      <c r="BG126" s="0" t="n">
        <v>0.0730819077425552</v>
      </c>
      <c r="BH126" s="0" t="n">
        <f aca="false">M126/BG126</f>
        <v>0.842539037171711</v>
      </c>
      <c r="BI126" s="0" t="n">
        <v>0.000858210375608478</v>
      </c>
      <c r="BJ126" s="0" t="n">
        <v>0.417843066172088</v>
      </c>
      <c r="BK126" s="0" t="n">
        <v>0.05008253286113</v>
      </c>
      <c r="BL126" s="0" t="n">
        <v>0.0999335385672359</v>
      </c>
      <c r="BM126" s="0" t="n">
        <v>0.0773335385672359</v>
      </c>
      <c r="BN126" s="0" t="e">
        <f aca="false">#REF!/#REF!</f>
        <v>#REF!</v>
      </c>
      <c r="BO126" s="0" t="e">
        <f aca="false">BN126-0.0226</f>
        <v>#REF!</v>
      </c>
    </row>
    <row r="127" customFormat="false" ht="12.8" hidden="false" customHeight="false" outlineLevel="0" collapsed="false">
      <c r="A127" s="0" t="s">
        <v>180</v>
      </c>
      <c r="B127" s="0" t="s">
        <v>111</v>
      </c>
      <c r="C127" s="0" t="s">
        <v>59</v>
      </c>
      <c r="D127" s="0" t="s">
        <v>52</v>
      </c>
      <c r="E127" s="0" t="n">
        <v>0.1944</v>
      </c>
      <c r="F127" s="0" t="n">
        <v>2.3193</v>
      </c>
      <c r="G127" s="0" t="n">
        <v>257</v>
      </c>
      <c r="H127" s="0" t="n">
        <v>213</v>
      </c>
      <c r="I127" s="0" t="s">
        <v>53</v>
      </c>
      <c r="J127" s="0" t="n">
        <v>0</v>
      </c>
      <c r="K127" s="0" t="n">
        <v>0.0515201</v>
      </c>
      <c r="L127" s="0" t="n">
        <v>0.00996785939353708</v>
      </c>
      <c r="M127" s="1" t="n">
        <v>0.0448292975978325</v>
      </c>
      <c r="N127" s="0" t="n">
        <v>0.329374263945325</v>
      </c>
      <c r="O127" s="0" t="n">
        <v>0.245820185389447</v>
      </c>
      <c r="P127" s="0" t="n">
        <v>0.179677303910324</v>
      </c>
      <c r="Q127" s="0" t="n">
        <v>0.301512587379584</v>
      </c>
      <c r="R127" s="11" t="n">
        <v>0.094829221091</v>
      </c>
      <c r="S127" s="11" t="n">
        <v>0.0848613616974629</v>
      </c>
      <c r="T127" s="0" t="n">
        <v>0.000174623123829</v>
      </c>
      <c r="U127" s="11" t="n">
        <v>0.000211757781189</v>
      </c>
      <c r="V127" s="11" t="n">
        <v>0.000226218286414</v>
      </c>
      <c r="Z127" s="1"/>
      <c r="AA127" s="1"/>
      <c r="AB127" s="11"/>
      <c r="AJ127" s="0" t="n">
        <v>1.58680161413825</v>
      </c>
      <c r="AK127" s="0" t="n">
        <v>0.000266620942224</v>
      </c>
      <c r="AL127" s="0" t="n">
        <f aca="false">AK127-0.00003713465736</f>
        <v>0.000229486284864</v>
      </c>
      <c r="AM127" s="0" t="n">
        <v>0.760419343050256</v>
      </c>
      <c r="AN127" s="0" t="n">
        <v>5.8618541483343E-005</v>
      </c>
      <c r="AO127" s="0" t="n">
        <v>0.000174381639549</v>
      </c>
      <c r="AP127" s="0" t="n">
        <v>1.61468045119919</v>
      </c>
      <c r="AQ127" s="0" t="n">
        <v>0.000263352943774</v>
      </c>
      <c r="AR127" s="0" t="n">
        <f aca="false">AQ127-0.00003713465736</f>
        <v>0.000226218286414</v>
      </c>
      <c r="AS127" s="0" t="n">
        <v>0.874160907343751</v>
      </c>
      <c r="AT127" s="0" t="n">
        <v>0.000240792533515093</v>
      </c>
      <c r="AU127" s="3" t="n">
        <v>0.0580846511461162</v>
      </c>
      <c r="AV127" s="0" t="n">
        <v>0.00449637761937606</v>
      </c>
      <c r="AW127" s="0" t="n">
        <v>0</v>
      </c>
      <c r="AZ127" s="0" t="n">
        <v>0.282777449466036</v>
      </c>
      <c r="BA127" s="0" t="n">
        <v>0.262077449466036</v>
      </c>
      <c r="BC127" s="0" t="n">
        <v>0.200377303910324</v>
      </c>
      <c r="BD127" s="0" t="n">
        <v>0.179677303910324</v>
      </c>
      <c r="BE127" s="0" t="n">
        <v>0.109141965453619</v>
      </c>
      <c r="BF127" s="3" t="n">
        <v>0.067741965453619</v>
      </c>
      <c r="BG127" s="0" t="n">
        <v>0.0556810954925997</v>
      </c>
      <c r="BH127" s="0" t="n">
        <f aca="false">M127/BG127</f>
        <v>0.805108038935594</v>
      </c>
      <c r="BI127" s="0" t="n">
        <v>0.000148136392531704</v>
      </c>
      <c r="BJ127" s="0" t="n">
        <v>0.554405634716075</v>
      </c>
      <c r="BK127" s="0" t="n">
        <v>0</v>
      </c>
      <c r="BL127" s="0" t="n">
        <v>0</v>
      </c>
      <c r="BM127" s="0" t="n">
        <v>0</v>
      </c>
      <c r="BN127" s="0" t="e">
        <f aca="false">#REF!/#REF!</f>
        <v>#REF!</v>
      </c>
      <c r="BO127" s="0" t="n">
        <v>0</v>
      </c>
    </row>
    <row r="128" customFormat="false" ht="12.8" hidden="false" customHeight="false" outlineLevel="0" collapsed="false">
      <c r="A128" s="0" t="s">
        <v>181</v>
      </c>
      <c r="B128" s="0" t="s">
        <v>111</v>
      </c>
      <c r="C128" s="0" t="s">
        <v>51</v>
      </c>
      <c r="D128" s="0" t="s">
        <v>52</v>
      </c>
      <c r="E128" s="0" t="n">
        <v>0.2087</v>
      </c>
      <c r="F128" s="0" t="n">
        <v>2.0488</v>
      </c>
      <c r="G128" s="0" t="n">
        <v>188</v>
      </c>
      <c r="H128" s="0" t="n">
        <v>146</v>
      </c>
      <c r="I128" s="0" t="s">
        <v>53</v>
      </c>
      <c r="J128" s="0" t="n">
        <v>0.0517372601</v>
      </c>
      <c r="K128" s="0" t="n">
        <v>0.0451623</v>
      </c>
      <c r="L128" s="0" t="n">
        <v>0.00950513668416139</v>
      </c>
      <c r="M128" s="1" t="n">
        <v>0.0438327564157736</v>
      </c>
      <c r="N128" s="0" t="n">
        <v>0.221694866686069</v>
      </c>
      <c r="O128" s="0" t="n">
        <v>0.238361042742912</v>
      </c>
      <c r="P128" s="0" t="n">
        <v>0.172778757369738</v>
      </c>
      <c r="Q128" s="0" t="n">
        <v>0.262020383710422</v>
      </c>
      <c r="R128" s="11" t="n">
        <v>0.091946069438</v>
      </c>
      <c r="S128" s="11" t="n">
        <v>0.0824409327538386</v>
      </c>
      <c r="T128" s="0" t="n">
        <v>0.000133371868643333</v>
      </c>
      <c r="U128" s="11" t="n">
        <v>0.00018169929883</v>
      </c>
      <c r="V128" s="11" t="n">
        <v>0.000283909489951333</v>
      </c>
      <c r="Z128" s="1"/>
      <c r="AA128" s="1"/>
      <c r="AB128" s="11"/>
      <c r="AJ128" s="0" t="n">
        <v>-0.0227892302618155</v>
      </c>
      <c r="AK128" s="0" t="n">
        <v>0.000347135283208</v>
      </c>
      <c r="AL128" s="0" t="n">
        <f aca="false">AK128-0.0000483274301866667</f>
        <v>0.000298807853021333</v>
      </c>
      <c r="AM128" s="0" t="n">
        <v>0.41751965679026</v>
      </c>
      <c r="AN128" s="0" t="n">
        <v>3.7418163880548E-007</v>
      </c>
      <c r="AO128" s="0" t="n">
        <v>0.000133371868643333</v>
      </c>
      <c r="AP128" s="0" t="n">
        <v>-0.0227892302618155</v>
      </c>
      <c r="AQ128" s="0" t="n">
        <v>0.000332236920138</v>
      </c>
      <c r="AR128" s="0" t="n">
        <f aca="false">AQ128-0.0000483274301866667</f>
        <v>0.000283909489951333</v>
      </c>
      <c r="AS128" s="0" t="n">
        <v>0.619533632727077</v>
      </c>
      <c r="AT128" s="0" t="n">
        <v>7.4836327761096E-007</v>
      </c>
      <c r="AU128" s="3" t="n">
        <v>0.0534499986233829</v>
      </c>
      <c r="AV128" s="0" t="n">
        <v>0.0947647865339273</v>
      </c>
      <c r="AW128" s="0" t="n">
        <v>0.078804862116044</v>
      </c>
      <c r="AZ128" s="0" t="n">
        <v>0.289459029497504</v>
      </c>
      <c r="BA128" s="0" t="n">
        <v>0.266859029497504</v>
      </c>
      <c r="BC128" s="0" t="n">
        <v>0.195378757369738</v>
      </c>
      <c r="BD128" s="0" t="n">
        <v>0.172778757369738</v>
      </c>
      <c r="BE128" s="0" t="n">
        <v>0.09118929222992</v>
      </c>
      <c r="BF128" s="3" t="n">
        <v>0.04598929222992</v>
      </c>
      <c r="BG128" s="0" t="n">
        <v>0.0644275652981194</v>
      </c>
      <c r="BH128" s="0" t="n">
        <f aca="false">M128/BG128</f>
        <v>0.680341655205354</v>
      </c>
      <c r="BI128" s="0" t="n">
        <v>1.11601164669984E-006</v>
      </c>
      <c r="BJ128" s="0" t="n">
        <v>0.501120921907549</v>
      </c>
      <c r="BK128" s="0" t="n">
        <v>0.0503369569250838</v>
      </c>
      <c r="BL128" s="0" t="n">
        <v>0.101404862116044</v>
      </c>
      <c r="BM128" s="0" t="n">
        <v>0.078804862116044</v>
      </c>
      <c r="BN128" s="0" t="e">
        <f aca="false">#REF!/#REF!</f>
        <v>#REF!</v>
      </c>
      <c r="BO128" s="0" t="e">
        <f aca="false">BN128-0.0226</f>
        <v>#REF!</v>
      </c>
    </row>
    <row r="129" customFormat="false" ht="12.8" hidden="false" customHeight="false" outlineLevel="0" collapsed="false">
      <c r="A129" s="0" t="s">
        <v>182</v>
      </c>
      <c r="B129" s="0" t="s">
        <v>111</v>
      </c>
      <c r="C129" s="0" t="s">
        <v>59</v>
      </c>
      <c r="D129" s="0" t="s">
        <v>52</v>
      </c>
      <c r="E129" s="0" t="n">
        <v>0.3178</v>
      </c>
      <c r="F129" s="0" t="n">
        <v>3.1785</v>
      </c>
      <c r="G129" s="0" t="n">
        <v>546</v>
      </c>
      <c r="H129" s="0" t="n">
        <v>492</v>
      </c>
      <c r="I129" s="0" t="s">
        <v>55</v>
      </c>
      <c r="J129" s="0" t="n">
        <v>0</v>
      </c>
      <c r="K129" s="0" t="n">
        <v>0.309987</v>
      </c>
      <c r="L129" s="0" t="n">
        <v>0.021181312041312</v>
      </c>
      <c r="M129" s="1" t="n">
        <v>0.0361024351414467</v>
      </c>
      <c r="N129" s="0" t="n">
        <v>0.184907551384557</v>
      </c>
      <c r="O129" s="0" t="n">
        <v>0.286854520141573</v>
      </c>
      <c r="P129" s="0" t="n">
        <v>0.225648865780656</v>
      </c>
      <c r="Q129" s="0" t="n">
        <v>0.24310925014234</v>
      </c>
      <c r="R129" s="11" t="n">
        <v>0.182701906126</v>
      </c>
      <c r="S129" s="11" t="n">
        <v>0.161520594084688</v>
      </c>
      <c r="T129" s="0" t="n">
        <v>0.000167950066695</v>
      </c>
      <c r="U129" s="11" t="n">
        <v>0.000205084724055</v>
      </c>
      <c r="V129" s="11" t="n">
        <v>0.0002357373317345</v>
      </c>
      <c r="Z129" s="1"/>
      <c r="AA129" s="1"/>
      <c r="AB129" s="11"/>
      <c r="AJ129" s="0" t="n">
        <v>1.49204056348671</v>
      </c>
      <c r="AK129" s="0" t="n">
        <v>0.000273280384492</v>
      </c>
      <c r="AL129" s="0" t="n">
        <f aca="false">AK129-0.00003713465736</f>
        <v>0.000236145727132</v>
      </c>
      <c r="AM129" s="0" t="n">
        <v>100</v>
      </c>
      <c r="AN129" s="0" t="n">
        <v>1.62085659513594E-017</v>
      </c>
      <c r="AO129" s="0" t="n">
        <v>0.000166672316246</v>
      </c>
      <c r="AP129" s="0" t="n">
        <v>1.48414516895024</v>
      </c>
      <c r="AQ129" s="0" t="n">
        <v>0.0002728719890945</v>
      </c>
      <c r="AR129" s="0" t="n">
        <f aca="false">AQ129-0.00003713465736</f>
        <v>0.0002357373317345</v>
      </c>
      <c r="AS129" s="0" t="n">
        <v>0.834554285492909</v>
      </c>
      <c r="AT129" s="0" t="n">
        <v>7.22149341272051E-018</v>
      </c>
      <c r="AU129" s="3" t="n">
        <v>0.078812409077544</v>
      </c>
      <c r="AV129" s="0" t="n">
        <v>0.000186101052045568</v>
      </c>
      <c r="AW129" s="0" t="n">
        <v>0</v>
      </c>
      <c r="AZ129" s="0" t="n">
        <v>0.207336157692576</v>
      </c>
      <c r="BA129" s="0" t="n">
        <v>0.186636157692576</v>
      </c>
      <c r="BC129" s="0" t="n">
        <v>0.246348865780656</v>
      </c>
      <c r="BD129" s="0" t="n">
        <v>0.225648865780656</v>
      </c>
      <c r="BE129" s="0" t="n">
        <v>0.135897202923686</v>
      </c>
      <c r="BF129" s="3" t="n">
        <v>0.094497202923686</v>
      </c>
      <c r="BG129" s="0" t="n">
        <v>0.047426555851561</v>
      </c>
      <c r="BH129" s="0" t="n">
        <f aca="false">M129/BG129</f>
        <v>0.761228271655287</v>
      </c>
      <c r="BI129" s="0" t="n">
        <v>1.6949291E-013</v>
      </c>
      <c r="BJ129" s="0" t="n">
        <v>0.556564848315189</v>
      </c>
      <c r="BK129" s="0" t="n">
        <v>0</v>
      </c>
      <c r="BL129" s="0" t="n">
        <v>0</v>
      </c>
      <c r="BM129" s="0" t="n">
        <v>0</v>
      </c>
      <c r="BN129" s="0" t="e">
        <f aca="false">#REF!/#REF!</f>
        <v>#REF!</v>
      </c>
      <c r="BO129" s="0" t="n">
        <v>0</v>
      </c>
    </row>
    <row r="130" customFormat="false" ht="12.8" hidden="false" customHeight="false" outlineLevel="0" collapsed="false">
      <c r="A130" s="0" t="s">
        <v>183</v>
      </c>
      <c r="B130" s="0" t="s">
        <v>111</v>
      </c>
      <c r="C130" s="0" t="s">
        <v>59</v>
      </c>
      <c r="D130" s="0" t="s">
        <v>52</v>
      </c>
      <c r="E130" s="0" t="n">
        <v>0.0914</v>
      </c>
      <c r="F130" s="0" t="n">
        <v>1.3363</v>
      </c>
      <c r="G130" s="0" t="n">
        <v>172</v>
      </c>
      <c r="H130" s="0" t="n">
        <v>141</v>
      </c>
      <c r="I130" s="0" t="s">
        <v>53</v>
      </c>
      <c r="J130" s="0" t="n">
        <v>0</v>
      </c>
      <c r="K130" s="0" t="n">
        <v>0.0198233</v>
      </c>
      <c r="L130" s="0" t="n">
        <v>0.00667571807426628</v>
      </c>
      <c r="M130" s="1" t="n">
        <v>0.0409526755189564</v>
      </c>
      <c r="N130" s="0" t="n">
        <v>0.21654721124488</v>
      </c>
      <c r="O130" s="0" t="n">
        <v>0.216811193805098</v>
      </c>
      <c r="P130" s="0" t="n">
        <v>0.162863193060421</v>
      </c>
      <c r="Q130" s="0" t="n">
        <v>0.182329964402487</v>
      </c>
      <c r="R130" s="11" t="n">
        <v>0.0548179518332</v>
      </c>
      <c r="S130" s="11" t="n">
        <v>0.0481422337589337</v>
      </c>
      <c r="T130" s="0" t="n">
        <v>0.000139249268595</v>
      </c>
      <c r="U130" s="11" t="n">
        <v>0.000176383925955</v>
      </c>
      <c r="V130" s="11" t="n">
        <v>0.000222065988212</v>
      </c>
      <c r="Z130" s="1"/>
      <c r="AA130" s="1"/>
      <c r="AB130" s="11"/>
      <c r="AJ130" s="0" t="n">
        <v>1.29446048716708</v>
      </c>
      <c r="AK130" s="0" t="n">
        <v>0.000259200645572</v>
      </c>
      <c r="AL130" s="0" t="n">
        <f aca="false">AK130-0.00003713465736</f>
        <v>0.000222065988212</v>
      </c>
      <c r="AM130" s="0" t="n">
        <v>0.358440227647135</v>
      </c>
      <c r="AN130" s="0" t="n">
        <v>0.000200950619746836</v>
      </c>
      <c r="AO130" s="0" t="n">
        <v>0.000138868074999</v>
      </c>
      <c r="AP130" s="0" t="n">
        <v>0.839207251051059</v>
      </c>
      <c r="AQ130" s="0" t="n">
        <v>0.000259200645572</v>
      </c>
      <c r="AR130" s="0" t="n">
        <f aca="false">AQ130-0.00003713465736</f>
        <v>0.000222065988212</v>
      </c>
      <c r="AS130" s="0" t="n">
        <v>0.346835391632069</v>
      </c>
      <c r="AT130" s="0" t="n">
        <v>0.000195123871243399</v>
      </c>
      <c r="AU130" s="3" t="n">
        <v>0.0487477554363142</v>
      </c>
      <c r="AV130" s="0" t="n">
        <v>0.268367304370428</v>
      </c>
      <c r="AW130" s="0" t="n">
        <v>0</v>
      </c>
      <c r="AZ130" s="0" t="n">
        <v>0.262024711997794</v>
      </c>
      <c r="BA130" s="0" t="n">
        <v>0.241324711997794</v>
      </c>
      <c r="BC130" s="0" t="n">
        <v>0.183563193060421</v>
      </c>
      <c r="BD130" s="0" t="n">
        <v>0.162863193060421</v>
      </c>
      <c r="BE130" s="0" t="n">
        <v>0.0842593056346078</v>
      </c>
      <c r="BF130" s="3" t="n">
        <v>0.0428593056346078</v>
      </c>
      <c r="BG130" s="0" t="n">
        <v>0.0500820849303159</v>
      </c>
      <c r="BH130" s="0" t="n">
        <f aca="false">M130/BG130</f>
        <v>0.817711075246525</v>
      </c>
      <c r="BI130" s="0" t="n">
        <v>0.00104264603605163</v>
      </c>
      <c r="BJ130" s="0" t="n">
        <v>0.495350671331863</v>
      </c>
      <c r="BK130" s="0" t="n">
        <v>0</v>
      </c>
      <c r="BL130" s="0" t="n">
        <v>0</v>
      </c>
      <c r="BM130" s="0" t="n">
        <v>0</v>
      </c>
      <c r="BN130" s="0" t="e">
        <f aca="false">#REF!/#REF!</f>
        <v>#REF!</v>
      </c>
      <c r="BO130" s="0" t="n">
        <v>0</v>
      </c>
    </row>
    <row r="131" customFormat="false" ht="12.8" hidden="false" customHeight="false" outlineLevel="0" collapsed="false">
      <c r="A131" s="0" t="s">
        <v>184</v>
      </c>
      <c r="B131" s="0" t="s">
        <v>111</v>
      </c>
      <c r="C131" s="0" t="s">
        <v>59</v>
      </c>
      <c r="D131" s="0" t="s">
        <v>52</v>
      </c>
      <c r="E131" s="0" t="n">
        <v>0.0843</v>
      </c>
      <c r="F131" s="0" t="n">
        <v>1.4135</v>
      </c>
      <c r="G131" s="0" t="n">
        <v>128</v>
      </c>
      <c r="H131" s="0" t="n">
        <v>93</v>
      </c>
      <c r="I131" s="0" t="s">
        <v>53</v>
      </c>
      <c r="J131" s="0" t="n">
        <v>0</v>
      </c>
      <c r="K131" s="0" t="n">
        <v>0.0245764</v>
      </c>
      <c r="L131" s="0" t="n">
        <v>0.00485220878757332</v>
      </c>
      <c r="M131" s="1" t="n">
        <v>0.0426949613928337</v>
      </c>
      <c r="N131" s="0" t="n">
        <v>0.049507707199751</v>
      </c>
      <c r="O131" s="0" t="n">
        <v>0.212081056389159</v>
      </c>
      <c r="P131" s="0" t="n">
        <v>0.152179033971179</v>
      </c>
      <c r="Q131" s="0" t="n">
        <v>0.162376452188525</v>
      </c>
      <c r="R131" s="11" t="n">
        <v>0.0353668518905</v>
      </c>
      <c r="S131" s="11" t="n">
        <v>0.0305146431029267</v>
      </c>
      <c r="T131" s="0" t="n">
        <v>0.0001430868919825</v>
      </c>
      <c r="U131" s="11" t="n">
        <v>0.0001802215493425</v>
      </c>
      <c r="V131" s="11" t="n">
        <v>0.000182864638269</v>
      </c>
      <c r="Z131" s="1"/>
      <c r="AA131" s="1"/>
      <c r="AB131" s="11"/>
      <c r="AJ131" s="0" t="n">
        <v>0.797096148725858</v>
      </c>
      <c r="AK131" s="0" t="n">
        <v>0.000219999295629</v>
      </c>
      <c r="AL131" s="0" t="n">
        <f aca="false">AK131-0.00003713465736</f>
        <v>0.000182864638269</v>
      </c>
      <c r="AM131" s="0" t="n">
        <v>100</v>
      </c>
      <c r="AN131" s="0" t="n">
        <v>0.0771078287424839</v>
      </c>
      <c r="AO131" s="0" t="n">
        <v>0.0001430868919825</v>
      </c>
      <c r="AP131" s="0" t="n">
        <v>0.797096148725858</v>
      </c>
      <c r="AQ131" s="0" t="n">
        <v>0.000219999295629</v>
      </c>
      <c r="AR131" s="0" t="n">
        <f aca="false">AQ131-0.00003713465736</f>
        <v>0.000182864638269</v>
      </c>
      <c r="AS131" s="0" t="n">
        <v>0.154581678435824</v>
      </c>
      <c r="AT131" s="0" t="n">
        <v>0.154215657484968</v>
      </c>
      <c r="AU131" s="3" t="n">
        <v>0.0329310017628407</v>
      </c>
      <c r="AV131" s="0" t="n">
        <v>0.214786310796348</v>
      </c>
      <c r="AW131" s="0" t="n">
        <v>0</v>
      </c>
      <c r="AZ131" s="0" t="n">
        <v>0.229987897096785</v>
      </c>
      <c r="BA131" s="0" t="n">
        <v>0.209287897096785</v>
      </c>
      <c r="BC131" s="0" t="n">
        <v>0.172879033971179</v>
      </c>
      <c r="BD131" s="0" t="n">
        <v>0.152179033971179</v>
      </c>
      <c r="BE131" s="0" t="n">
        <v>0.076335072907502</v>
      </c>
      <c r="BF131" s="3" t="n">
        <v>0.034935072907502</v>
      </c>
      <c r="BG131" s="0" t="n">
        <v>0.0453418731750045</v>
      </c>
      <c r="BH131" s="0" t="n">
        <f aca="false">M131/BG131</f>
        <v>0.941623237047252</v>
      </c>
      <c r="BI131" s="0" t="n">
        <v>0.20239194142993</v>
      </c>
      <c r="BJ131" s="0" t="n">
        <v>0.51352778898601</v>
      </c>
      <c r="BK131" s="0" t="n">
        <v>0</v>
      </c>
      <c r="BL131" s="0" t="n">
        <v>0</v>
      </c>
      <c r="BM131" s="0" t="n">
        <v>0</v>
      </c>
      <c r="BN131" s="0" t="e">
        <f aca="false">#REF!/#REF!</f>
        <v>#REF!</v>
      </c>
      <c r="BO131" s="0" t="n">
        <v>0</v>
      </c>
    </row>
    <row r="132" customFormat="false" ht="12.8" hidden="false" customHeight="false" outlineLevel="0" collapsed="false">
      <c r="A132" s="0" t="s">
        <v>185</v>
      </c>
      <c r="B132" s="0" t="s">
        <v>111</v>
      </c>
      <c r="C132" s="0" t="s">
        <v>51</v>
      </c>
      <c r="D132" s="0" t="s">
        <v>52</v>
      </c>
      <c r="E132" s="0" t="n">
        <v>0.417</v>
      </c>
      <c r="F132" s="0" t="n">
        <v>3.7985</v>
      </c>
      <c r="G132" s="0" t="n">
        <v>867</v>
      </c>
      <c r="H132" s="0" t="n">
        <v>821</v>
      </c>
      <c r="I132" s="0" t="s">
        <v>53</v>
      </c>
      <c r="J132" s="0" t="n">
        <v>0.0446140952</v>
      </c>
      <c r="K132" s="0" t="n">
        <v>0.291146</v>
      </c>
      <c r="L132" s="0" t="n">
        <v>0.043849236823867</v>
      </c>
      <c r="M132" s="1" t="n">
        <v>0.0320921069068765</v>
      </c>
      <c r="N132" s="0" t="n">
        <v>0.293992252147366</v>
      </c>
      <c r="O132" s="0" t="n">
        <v>0.313578945463895</v>
      </c>
      <c r="P132" s="0" t="n">
        <v>0.263731702135105</v>
      </c>
      <c r="Q132" s="0" t="n">
        <v>0.329582651007274</v>
      </c>
      <c r="R132" s="11" t="n">
        <v>0.29430965434</v>
      </c>
      <c r="S132" s="11" t="n">
        <v>0.250460417516133</v>
      </c>
      <c r="T132" s="0" t="n">
        <v>0.000152350000433833</v>
      </c>
      <c r="U132" s="11" t="n">
        <v>0.0002006774306205</v>
      </c>
      <c r="V132" s="11" t="n">
        <v>0.000226985621203333</v>
      </c>
      <c r="Z132" s="1"/>
      <c r="AA132" s="1"/>
      <c r="AB132" s="11"/>
      <c r="AJ132" s="0" t="n">
        <v>2.36811426257903</v>
      </c>
      <c r="AK132" s="0" t="n">
        <v>0.00028299542439</v>
      </c>
      <c r="AL132" s="0" t="n">
        <f aca="false">AK132-0.0000483274301866667</f>
        <v>0.000234667994203333</v>
      </c>
      <c r="AM132" s="0" t="n">
        <v>0.873951978838276</v>
      </c>
      <c r="AN132" s="0" t="n">
        <v>1.05306322101332E-026</v>
      </c>
      <c r="AO132" s="0" t="n">
        <v>0.000151432565701833</v>
      </c>
      <c r="AP132" s="0" t="n">
        <v>2.01228553575516</v>
      </c>
      <c r="AQ132" s="0" t="n">
        <v>0.00027531305139</v>
      </c>
      <c r="AR132" s="0" t="n">
        <f aca="false">AQ132-0.0000483274301866667</f>
        <v>0.000226985621203333</v>
      </c>
      <c r="AS132" s="0" t="n">
        <v>0.863573635778299</v>
      </c>
      <c r="AT132" s="0" t="n">
        <v>1.30683747555594E-024</v>
      </c>
      <c r="AU132" s="3" t="n">
        <v>0.109839990814357</v>
      </c>
      <c r="AV132" s="0" t="n">
        <v>4.06021524701016E-005</v>
      </c>
      <c r="AW132" s="0" t="n">
        <v>0.23649465387676</v>
      </c>
      <c r="AZ132" s="0" t="n">
        <v>0.313951425239532</v>
      </c>
      <c r="BA132" s="0" t="n">
        <v>0.291351425239532</v>
      </c>
      <c r="BC132" s="0" t="n">
        <v>0.286331702135105</v>
      </c>
      <c r="BD132" s="0" t="n">
        <v>0.263731702135105</v>
      </c>
      <c r="BE132" s="0" t="n">
        <v>0.167439479858863</v>
      </c>
      <c r="BF132" s="3" t="n">
        <v>0.122239479858863</v>
      </c>
      <c r="BG132" s="0" t="n">
        <v>0.0434409788215505</v>
      </c>
      <c r="BH132" s="0" t="n">
        <f aca="false">M132/BG132</f>
        <v>0.738751929110677</v>
      </c>
      <c r="BI132" s="0" t="n">
        <v>1.38423305051311E-024</v>
      </c>
      <c r="BJ132" s="0" t="n">
        <v>0.598868273780127</v>
      </c>
      <c r="BK132" s="0" t="n">
        <v>0.259745951525846</v>
      </c>
      <c r="BL132" s="0" t="n">
        <v>0.25909465387676</v>
      </c>
      <c r="BM132" s="0" t="n">
        <v>0.23649465387676</v>
      </c>
      <c r="BN132" s="0" t="e">
        <f aca="false">#REF!/#REF!</f>
        <v>#REF!</v>
      </c>
      <c r="BO132" s="0" t="e">
        <f aca="false">BN132-0.0226</f>
        <v>#REF!</v>
      </c>
    </row>
    <row r="133" customFormat="false" ht="12.8" hidden="false" customHeight="false" outlineLevel="0" collapsed="false">
      <c r="A133" s="0" t="s">
        <v>186</v>
      </c>
      <c r="B133" s="0" t="s">
        <v>111</v>
      </c>
      <c r="C133" s="0" t="s">
        <v>51</v>
      </c>
      <c r="D133" s="0" t="s">
        <v>52</v>
      </c>
      <c r="E133" s="0" t="n">
        <v>0.6587</v>
      </c>
      <c r="F133" s="0" t="n">
        <v>4.9775</v>
      </c>
      <c r="G133" s="0" t="n">
        <v>1152</v>
      </c>
      <c r="H133" s="0" t="n">
        <v>1107</v>
      </c>
      <c r="I133" s="0" t="s">
        <v>55</v>
      </c>
      <c r="J133" s="0" t="n">
        <v>0.0586386211</v>
      </c>
      <c r="K133" s="0" t="n">
        <v>0.71249</v>
      </c>
      <c r="L133" s="0" t="n">
        <v>0.0582681507014921</v>
      </c>
      <c r="M133" s="1" t="n">
        <v>0.0292841817732101</v>
      </c>
      <c r="N133" s="0" t="n">
        <v>0.180469637114153</v>
      </c>
      <c r="O133" s="0" t="n">
        <v>0.346106082816808</v>
      </c>
      <c r="P133" s="0" t="n">
        <v>0.286769302997318</v>
      </c>
      <c r="Q133" s="0" t="n">
        <v>0.233896848694243</v>
      </c>
      <c r="R133" s="11" t="n">
        <v>0.453056531802</v>
      </c>
      <c r="S133" s="11" t="n">
        <v>0.394788381100508</v>
      </c>
      <c r="T133" s="0" t="n">
        <v>8.49959242196705E-005</v>
      </c>
      <c r="U133" s="11" t="n">
        <v>0.000182109402884</v>
      </c>
      <c r="V133" s="11" t="n">
        <v>0.000243048448195833</v>
      </c>
      <c r="Z133" s="1"/>
      <c r="AA133" s="1"/>
      <c r="AB133" s="11"/>
      <c r="AJ133" s="0" t="n">
        <v>100</v>
      </c>
      <c r="AK133" s="0" t="n">
        <v>0.0002939684281265</v>
      </c>
      <c r="AL133" s="0" t="n">
        <f aca="false">AK133-0.0000483274301866667</f>
        <v>0.000245640997939833</v>
      </c>
      <c r="AM133" s="0" t="n">
        <v>0.726577543319219</v>
      </c>
      <c r="AN133" s="0" t="n">
        <v>1.59225878817607E-069</v>
      </c>
      <c r="AO133" s="0" t="n">
        <v>8.49959242196705E-005</v>
      </c>
      <c r="AP133" s="0" t="n">
        <v>2.99844482529123</v>
      </c>
      <c r="AQ133" s="0" t="n">
        <v>0.0002913758783825</v>
      </c>
      <c r="AR133" s="0" t="n">
        <f aca="false">AQ133-0.0000483274301866667</f>
        <v>0.000243048448195833</v>
      </c>
      <c r="AS133" s="0" t="n">
        <v>0.763001346310609</v>
      </c>
      <c r="AT133" s="0" t="n">
        <v>1.71355627199058E-065</v>
      </c>
      <c r="AU133" s="3" t="n">
        <v>0.154139972348987</v>
      </c>
      <c r="AV133" s="0" t="n">
        <v>8.844110605E-011</v>
      </c>
      <c r="AW133" s="0" t="n">
        <v>0.258741800203206</v>
      </c>
      <c r="AZ133" s="0" t="n">
        <v>0.208405321773285</v>
      </c>
      <c r="BA133" s="0" t="n">
        <v>0.185805321773285</v>
      </c>
      <c r="BC133" s="0" t="n">
        <v>0.309369302997318</v>
      </c>
      <c r="BD133" s="0" t="n">
        <v>0.286769302997318</v>
      </c>
      <c r="BE133" s="0" t="n">
        <v>0.22882736372629</v>
      </c>
      <c r="BF133" s="3" t="n">
        <v>0.18362736372629</v>
      </c>
      <c r="BG133" s="0" t="n">
        <v>0.0470936158057788</v>
      </c>
      <c r="BH133" s="0" t="n">
        <f aca="false">M133/BG133</f>
        <v>0.621829122103992</v>
      </c>
      <c r="BI133" s="0" t="n">
        <v>2.31936978749711E-061</v>
      </c>
      <c r="BJ133" s="0" t="n">
        <v>0.748515218334449</v>
      </c>
      <c r="BK133" s="0" t="n">
        <v>0.358347466478245</v>
      </c>
      <c r="BL133" s="0" t="n">
        <v>0.281341800203206</v>
      </c>
      <c r="BM133" s="0" t="n">
        <v>0.258741800203206</v>
      </c>
      <c r="BN133" s="0" t="e">
        <f aca="false">#REF!/#REF!</f>
        <v>#REF!</v>
      </c>
      <c r="BO133" s="0" t="e">
        <f aca="false">BN133-0.0226</f>
        <v>#REF!</v>
      </c>
    </row>
    <row r="134" customFormat="false" ht="12.8" hidden="false" customHeight="false" outlineLevel="0" collapsed="false">
      <c r="A134" s="0" t="s">
        <v>49</v>
      </c>
      <c r="B134" s="0" t="s">
        <v>50</v>
      </c>
      <c r="C134" s="0" t="s">
        <v>51</v>
      </c>
      <c r="D134" s="0" t="s">
        <v>187</v>
      </c>
      <c r="E134" s="0" t="n">
        <v>0.331275</v>
      </c>
      <c r="F134" s="0" t="n">
        <v>3.11</v>
      </c>
      <c r="G134" s="0" t="n">
        <v>888</v>
      </c>
      <c r="H134" s="0" t="n">
        <v>837</v>
      </c>
      <c r="I134" s="0" t="s">
        <v>53</v>
      </c>
      <c r="J134" s="0" t="n">
        <v>0.051684741</v>
      </c>
      <c r="K134" s="0" t="n">
        <v>0.105999</v>
      </c>
      <c r="L134" s="0" t="n">
        <v>0.028896066193819</v>
      </c>
      <c r="M134" s="1" t="n">
        <v>0.0251926026784499</v>
      </c>
      <c r="N134" s="0" t="n">
        <v>0.30396667024808</v>
      </c>
      <c r="O134" s="0" t="n">
        <v>0.305485874576348</v>
      </c>
      <c r="P134" s="0" t="n">
        <v>0.238811803859111</v>
      </c>
      <c r="Q134" s="0" t="n">
        <v>0.322241037115988</v>
      </c>
      <c r="R134" s="19" t="n">
        <v>0.192000025885</v>
      </c>
      <c r="S134" s="19" t="n">
        <v>0.163103959691181</v>
      </c>
      <c r="T134" s="0" t="n">
        <v>8.3689353567E-005</v>
      </c>
      <c r="U134" s="19" t="n">
        <v>0.000114732963567</v>
      </c>
      <c r="V134" s="19" t="n">
        <v>0.000124950787107</v>
      </c>
      <c r="X134" s="20"/>
      <c r="Y134" s="20"/>
      <c r="Z134" s="1"/>
      <c r="AA134" s="1"/>
      <c r="AB134" s="19"/>
      <c r="AJ134" s="0" t="n">
        <v>2.60338275512132</v>
      </c>
      <c r="AK134" s="0" t="n">
        <v>0.0001683473242235</v>
      </c>
      <c r="AL134" s="0" t="n">
        <f aca="false">AK134-0.00003104361</f>
        <v>0.0001373037142235</v>
      </c>
      <c r="AM134" s="0" t="n">
        <v>1.17309957006725</v>
      </c>
      <c r="AN134" s="0" t="n">
        <v>6.2294435461356E-026</v>
      </c>
      <c r="AO134" s="0" t="n">
        <v>8.31043827355E-005</v>
      </c>
      <c r="AP134" s="0" t="n">
        <v>2.64857387497558</v>
      </c>
      <c r="AQ134" s="0" t="n">
        <v>0.000155994397107</v>
      </c>
      <c r="AR134" s="0" t="n">
        <v>0.000124950787107</v>
      </c>
      <c r="AS134" s="0" t="n">
        <v>1.39219879778638</v>
      </c>
      <c r="AT134" s="0" t="n">
        <v>1.22907102902164E-018</v>
      </c>
      <c r="AU134" s="3" t="n">
        <v>0.09979954586098</v>
      </c>
      <c r="AV134" s="0" t="n">
        <v>0.00740055533730893</v>
      </c>
      <c r="AW134" s="0" t="n">
        <v>0.000209714622972</v>
      </c>
      <c r="AZ134" s="0" t="n">
        <v>0.367971897938202</v>
      </c>
      <c r="BA134" s="0" t="n">
        <v>0.348471897938202</v>
      </c>
      <c r="BC134" s="0" t="n">
        <v>0.258311803859111</v>
      </c>
      <c r="BD134" s="0" t="n">
        <v>0.238811803859111</v>
      </c>
      <c r="BE134" s="0" t="n">
        <v>0.130985730538136</v>
      </c>
      <c r="BF134" s="3" t="n">
        <v>0.091985730538136</v>
      </c>
      <c r="BG134" s="0" t="n">
        <v>0.0368635751223639</v>
      </c>
      <c r="BH134" s="0" t="n">
        <f aca="false">M134/BG134</f>
        <v>0.683400961377899</v>
      </c>
      <c r="BI134" s="0" t="n">
        <v>4.51420322848991E-031</v>
      </c>
      <c r="BJ134" s="0" t="n">
        <v>0.481777323393481</v>
      </c>
      <c r="BK134" s="0" t="n">
        <v>0.12957557450937</v>
      </c>
      <c r="BL134" s="0" t="n">
        <v>0.157610372382955</v>
      </c>
      <c r="BM134" s="0" t="n">
        <v>0.138110372382955</v>
      </c>
      <c r="BN134" s="0" t="e">
        <f aca="false">#REF!/#REF!</f>
        <v>#REF!</v>
      </c>
      <c r="BO134" s="20" t="n">
        <v>0.173622600455</v>
      </c>
    </row>
    <row r="135" customFormat="false" ht="12.8" hidden="false" customHeight="false" outlineLevel="0" collapsed="false">
      <c r="A135" s="0" t="s">
        <v>188</v>
      </c>
      <c r="B135" s="0" t="s">
        <v>50</v>
      </c>
      <c r="C135" s="0" t="s">
        <v>51</v>
      </c>
      <c r="D135" s="0" t="s">
        <v>187</v>
      </c>
      <c r="E135" s="0" t="n">
        <v>0.212275</v>
      </c>
      <c r="F135" s="0" t="n">
        <v>1.9885</v>
      </c>
      <c r="G135" s="0" t="n">
        <v>393</v>
      </c>
      <c r="H135" s="0" t="n">
        <v>344</v>
      </c>
      <c r="I135" s="0" t="s">
        <v>53</v>
      </c>
      <c r="J135" s="0" t="n">
        <v>0.0627924819</v>
      </c>
      <c r="K135" s="0" t="n">
        <v>0.073173</v>
      </c>
      <c r="L135" s="0" t="n">
        <v>0.0127883685886584</v>
      </c>
      <c r="M135" s="1" t="n">
        <v>0.0278776889785841</v>
      </c>
      <c r="N135" s="0" t="n">
        <v>0.261312038836619</v>
      </c>
      <c r="O135" s="0" t="n">
        <v>0.203694244042415</v>
      </c>
      <c r="P135" s="0" t="n">
        <v>0.15758606251164</v>
      </c>
      <c r="Q135" s="0" t="n">
        <v>0.279564989397741</v>
      </c>
      <c r="R135" s="19" t="n">
        <v>0.08516021931</v>
      </c>
      <c r="S135" s="19" t="n">
        <v>0.0723718507213416</v>
      </c>
      <c r="T135" s="0" t="n">
        <v>7.9557276015E-005</v>
      </c>
      <c r="U135" s="19" t="n">
        <v>0.000110600886015</v>
      </c>
      <c r="V135" s="19" t="n">
        <v>0.000125059208654</v>
      </c>
      <c r="X135" s="20"/>
      <c r="Y135" s="20"/>
      <c r="Z135" s="1"/>
      <c r="AA135" s="1"/>
      <c r="AB135" s="19"/>
      <c r="AJ135" s="0" t="n">
        <v>2.67679303569355</v>
      </c>
      <c r="AK135" s="0" t="n">
        <v>0.000156102818654</v>
      </c>
      <c r="AL135" s="0" t="n">
        <f aca="false">AK135-0.00003104361</f>
        <v>0.000125059208654</v>
      </c>
      <c r="AM135" s="0" t="n">
        <v>0.837340957679012</v>
      </c>
      <c r="AN135" s="0" t="n">
        <v>6.5014547098E-010</v>
      </c>
      <c r="AO135" s="0" t="n">
        <v>7.9557276015E-005</v>
      </c>
      <c r="AP135" s="0" t="n">
        <v>2.67679303569355</v>
      </c>
      <c r="AQ135" s="0" t="n">
        <v>0.000156102818654</v>
      </c>
      <c r="AR135" s="0" t="n">
        <v>0.000125059208654</v>
      </c>
      <c r="AS135" s="0" t="n">
        <v>0.837340957679012</v>
      </c>
      <c r="AT135" s="0" t="n">
        <v>1.30029094196E-009</v>
      </c>
      <c r="AU135" s="3" t="n">
        <v>0.0532529041220332</v>
      </c>
      <c r="AV135" s="0" t="n">
        <v>0.0296625246928363</v>
      </c>
      <c r="AW135" s="0" t="n">
        <v>0.000175141000539</v>
      </c>
      <c r="AZ135" s="0" t="n">
        <v>0.302483740626042</v>
      </c>
      <c r="BA135" s="0" t="n">
        <v>0.283683740626042</v>
      </c>
      <c r="BC135" s="0" t="n">
        <v>0.17638606251164</v>
      </c>
      <c r="BD135" s="0" t="n">
        <v>0.15758606251164</v>
      </c>
      <c r="BE135" s="0" t="n">
        <v>0.100632853950941</v>
      </c>
      <c r="BF135" s="3" t="n">
        <v>0.061632853950941</v>
      </c>
      <c r="BG135" s="0" t="n">
        <v>0.0364730346603245</v>
      </c>
      <c r="BH135" s="0" t="n">
        <f aca="false">M135/BG135</f>
        <v>0.764336974924369</v>
      </c>
      <c r="BI135" s="0" t="n">
        <v>3.77793912717198E-006</v>
      </c>
      <c r="BJ135" s="0" t="n">
        <v>0.578750285801243</v>
      </c>
      <c r="BK135" s="0" t="n">
        <v>0.159907531973356</v>
      </c>
      <c r="BL135" s="0" t="n">
        <v>0.135255016772172</v>
      </c>
      <c r="BM135" s="0" t="n">
        <v>0.116455016772172</v>
      </c>
      <c r="BN135" s="0" t="e">
        <f aca="false">#REF!/#REF!</f>
        <v>#REF!</v>
      </c>
      <c r="BO135" s="20" t="n">
        <v>0.070825051435</v>
      </c>
    </row>
    <row r="136" customFormat="false" ht="12.8" hidden="false" customHeight="false" outlineLevel="0" collapsed="false">
      <c r="A136" s="0" t="s">
        <v>189</v>
      </c>
      <c r="B136" s="0" t="s">
        <v>50</v>
      </c>
      <c r="C136" s="21" t="s">
        <v>59</v>
      </c>
      <c r="D136" s="0" t="s">
        <v>187</v>
      </c>
      <c r="E136" s="0" t="n">
        <v>0.25965</v>
      </c>
      <c r="F136" s="0" t="n">
        <v>2.34225</v>
      </c>
      <c r="G136" s="0" t="n">
        <v>675</v>
      </c>
      <c r="H136" s="0" t="n">
        <v>623</v>
      </c>
      <c r="I136" s="0" t="s">
        <v>53</v>
      </c>
      <c r="J136" s="0" t="n">
        <v>0</v>
      </c>
      <c r="K136" s="0" t="n">
        <v>0.135565</v>
      </c>
      <c r="L136" s="0" t="n">
        <v>0.0197063468881932</v>
      </c>
      <c r="M136" s="1" t="n">
        <v>0.0265193330979475</v>
      </c>
      <c r="N136" s="0" t="n">
        <v>0.275497583771413</v>
      </c>
      <c r="O136" s="0" t="n">
        <v>0.228325266214069</v>
      </c>
      <c r="P136" s="0" t="n">
        <v>0.198963664002478</v>
      </c>
      <c r="Q136" s="0" t="n">
        <v>0.294458065171344</v>
      </c>
      <c r="R136" s="19" t="n">
        <v>0.13563400088</v>
      </c>
      <c r="S136" s="19" t="n">
        <v>0.115927653991807</v>
      </c>
      <c r="T136" s="0" t="n">
        <v>9.05268799706667E-005</v>
      </c>
      <c r="U136" s="19" t="n">
        <v>0.000118345906744</v>
      </c>
      <c r="V136" s="19" t="n">
        <v>0.000138737572482167</v>
      </c>
      <c r="X136" s="20"/>
      <c r="Y136" s="20"/>
      <c r="Z136" s="1"/>
      <c r="AA136" s="1"/>
      <c r="AB136" s="19"/>
      <c r="AJ136" s="0" t="n">
        <v>2.12560627508243</v>
      </c>
      <c r="AK136" s="0" t="n">
        <v>0.0001665565992555</v>
      </c>
      <c r="AL136" s="0" t="n">
        <f aca="false">AK136-0.0000278190267733333</f>
        <v>0.000138737572482167</v>
      </c>
      <c r="AM136" s="0" t="n">
        <v>0.689794248133821</v>
      </c>
      <c r="AN136" s="0" t="n">
        <v>4.1458554222651E-016</v>
      </c>
      <c r="AO136" s="0" t="n">
        <v>9.02395774276667E-005</v>
      </c>
      <c r="AP136" s="0" t="n">
        <v>2.13617316898845</v>
      </c>
      <c r="AQ136" s="0" t="n">
        <v>0.0001665565992555</v>
      </c>
      <c r="AR136" s="0" t="n">
        <v>0.000138737572482167</v>
      </c>
      <c r="AS136" s="0" t="n">
        <v>0.688779876704673</v>
      </c>
      <c r="AT136" s="0" t="n">
        <v>1.77641956634476E-016</v>
      </c>
      <c r="AU136" s="3" t="n">
        <v>0.074111252781383</v>
      </c>
      <c r="AV136" s="0" t="n">
        <v>0.000365098770739208</v>
      </c>
      <c r="AW136" s="0" t="n">
        <v>0.000185531697980167</v>
      </c>
      <c r="AZ136" s="0" t="n">
        <v>0.306431981324543</v>
      </c>
      <c r="BA136" s="0" t="n">
        <v>0.287631981324543</v>
      </c>
      <c r="BC136" s="0" t="n">
        <v>0.217763664002478</v>
      </c>
      <c r="BD136" s="0" t="n">
        <v>0.198963664002478</v>
      </c>
      <c r="BE136" s="0" t="n">
        <v>0.123646333773361</v>
      </c>
      <c r="BF136" s="3" t="n">
        <v>0.086046333773361</v>
      </c>
      <c r="BG136" s="0" t="n">
        <v>0.0359504946980981</v>
      </c>
      <c r="BH136" s="0" t="n">
        <f aca="false">M136/BG136</f>
        <v>0.737662536236267</v>
      </c>
      <c r="BI136" s="0" t="n">
        <v>3.92266993133912E-019</v>
      </c>
      <c r="BJ136" s="0" t="n">
        <v>0.56334387037848</v>
      </c>
      <c r="BK136" s="0" t="n">
        <v>0</v>
      </c>
      <c r="BL136" s="0" t="n">
        <v>0</v>
      </c>
      <c r="BM136" s="0" t="n">
        <v>0</v>
      </c>
      <c r="BN136" s="0" t="e">
        <f aca="false">#REF!/#REF!</f>
        <v>#REF!</v>
      </c>
      <c r="BO136" s="20" t="n">
        <v>0.124657784432</v>
      </c>
    </row>
    <row r="137" customFormat="false" ht="12.8" hidden="false" customHeight="false" outlineLevel="0" collapsed="false">
      <c r="A137" s="0" t="s">
        <v>190</v>
      </c>
      <c r="B137" s="0" t="s">
        <v>50</v>
      </c>
      <c r="C137" s="21" t="s">
        <v>59</v>
      </c>
      <c r="D137" s="0" t="s">
        <v>187</v>
      </c>
      <c r="E137" s="0" t="n">
        <v>0.0822875</v>
      </c>
      <c r="F137" s="0" t="n">
        <v>1.1235</v>
      </c>
      <c r="G137" s="0" t="n">
        <v>223</v>
      </c>
      <c r="H137" s="0" t="n">
        <v>180</v>
      </c>
      <c r="I137" s="0" t="s">
        <v>53</v>
      </c>
      <c r="J137" s="0" t="n">
        <v>0</v>
      </c>
      <c r="K137" s="0" t="n">
        <v>0.061434</v>
      </c>
      <c r="L137" s="0" t="n">
        <v>0.00651141934528283</v>
      </c>
      <c r="M137" s="1" t="n">
        <v>0.0267639938334701</v>
      </c>
      <c r="N137" s="0" t="n">
        <v>0.182370932773998</v>
      </c>
      <c r="O137" s="0" t="n">
        <v>0.152642126588886</v>
      </c>
      <c r="P137" s="0" t="n">
        <v>0.120329787071569</v>
      </c>
      <c r="Q137" s="0" t="n">
        <v>0.180564116986398</v>
      </c>
      <c r="R137" s="19" t="n">
        <v>0.0329816583184</v>
      </c>
      <c r="S137" s="19" t="n">
        <v>0.0264702389731172</v>
      </c>
      <c r="T137" s="0" t="n">
        <v>7.15769441215167E-005</v>
      </c>
      <c r="U137" s="19" t="n">
        <v>9.939597089485E-005</v>
      </c>
      <c r="V137" s="19" t="n">
        <v>0.000101426962067667</v>
      </c>
      <c r="X137" s="20"/>
      <c r="Y137" s="20"/>
      <c r="Z137" s="1"/>
      <c r="AA137" s="1"/>
      <c r="AB137" s="19"/>
      <c r="AJ137" s="0" t="n">
        <v>1.29260012121363</v>
      </c>
      <c r="AK137" s="0" t="n">
        <v>0.000129245988841</v>
      </c>
      <c r="AL137" s="0" t="n">
        <f aca="false">AK137-0.0000278190267733333</f>
        <v>0.000101426962067667</v>
      </c>
      <c r="AM137" s="0" t="n">
        <v>0.72347675547128</v>
      </c>
      <c r="AN137" s="0" t="n">
        <v>1.23075168090256E-005</v>
      </c>
      <c r="AO137" s="0" t="n">
        <v>7.15769441215167E-005</v>
      </c>
      <c r="AP137" s="0" t="n">
        <v>1.29260012121363</v>
      </c>
      <c r="AQ137" s="0" t="n">
        <v>0.000129245988841</v>
      </c>
      <c r="AR137" s="0" t="n">
        <v>0.000101426962067667</v>
      </c>
      <c r="AS137" s="0" t="n">
        <v>0.72347675547128</v>
      </c>
      <c r="AT137" s="0" t="n">
        <v>2.46150336180513E-005</v>
      </c>
      <c r="AU137" s="3" t="n">
        <v>0.030007998241473</v>
      </c>
      <c r="AV137" s="0" t="n">
        <v>0.117292151016464</v>
      </c>
      <c r="AW137" s="0" t="n">
        <v>0.000208215844840667</v>
      </c>
      <c r="AZ137" s="0" t="n">
        <v>0.246264423756006</v>
      </c>
      <c r="BA137" s="0" t="n">
        <v>0.226764423756006</v>
      </c>
      <c r="BC137" s="0" t="n">
        <v>0.139829787071569</v>
      </c>
      <c r="BD137" s="0" t="n">
        <v>0.120329787071569</v>
      </c>
      <c r="BE137" s="0" t="n">
        <v>0.0728066058995858</v>
      </c>
      <c r="BF137" s="3" t="n">
        <v>0.0352066058995858</v>
      </c>
      <c r="BG137" s="0" t="n">
        <v>0.031677503813266</v>
      </c>
      <c r="BH137" s="0" t="n">
        <f aca="false">M137/BG137</f>
        <v>0.844889609712928</v>
      </c>
      <c r="BI137" s="0" t="n">
        <v>0.000464051992672327</v>
      </c>
      <c r="BJ137" s="0" t="n">
        <v>0.545920510879325</v>
      </c>
      <c r="BK137" s="0" t="n">
        <v>0</v>
      </c>
      <c r="BL137" s="0" t="n">
        <v>0</v>
      </c>
      <c r="BM137" s="0" t="n">
        <v>0</v>
      </c>
      <c r="BN137" s="0" t="e">
        <f aca="false">#REF!/#REF!</f>
        <v>#REF!</v>
      </c>
      <c r="BO137" s="20" t="n">
        <v>0.0279445797576</v>
      </c>
    </row>
    <row r="138" customFormat="false" ht="12.8" hidden="false" customHeight="false" outlineLevel="0" collapsed="false">
      <c r="A138" s="0" t="s">
        <v>191</v>
      </c>
      <c r="B138" s="0" t="s">
        <v>50</v>
      </c>
      <c r="C138" s="0" t="s">
        <v>51</v>
      </c>
      <c r="D138" s="0" t="s">
        <v>187</v>
      </c>
      <c r="E138" s="0" t="n">
        <v>0.196875</v>
      </c>
      <c r="F138" s="0" t="n">
        <v>2.08175</v>
      </c>
      <c r="G138" s="0" t="n">
        <v>286</v>
      </c>
      <c r="H138" s="0" t="n">
        <v>249</v>
      </c>
      <c r="I138" s="0" t="s">
        <v>55</v>
      </c>
      <c r="J138" s="0" t="n">
        <v>0.0431598537</v>
      </c>
      <c r="K138" s="0" t="n">
        <v>0.0532112</v>
      </c>
      <c r="L138" s="0" t="n">
        <v>0.0093059636108115</v>
      </c>
      <c r="M138" s="1" t="n">
        <v>0.0367853321932787</v>
      </c>
      <c r="N138" s="0" t="n">
        <v>0.191404945814811</v>
      </c>
      <c r="O138" s="0" t="n">
        <v>0.202460786038572</v>
      </c>
      <c r="P138" s="0" t="n">
        <v>0.169914461885369</v>
      </c>
      <c r="Q138" s="0" t="n">
        <v>0.235682843253072</v>
      </c>
      <c r="R138" s="19" t="n">
        <v>0.077111010409</v>
      </c>
      <c r="S138" s="19" t="n">
        <v>0.0678050467981885</v>
      </c>
      <c r="T138" s="0" t="n">
        <v>0.00013851704649</v>
      </c>
      <c r="U138" s="19" t="n">
        <v>0.00016956065649</v>
      </c>
      <c r="V138" s="19" t="n">
        <v>0.000174547874728</v>
      </c>
      <c r="X138" s="20"/>
      <c r="Y138" s="20"/>
      <c r="Z138" s="1"/>
      <c r="AA138" s="1"/>
      <c r="AB138" s="19"/>
      <c r="AJ138" s="0" t="n">
        <v>0.777818886490424</v>
      </c>
      <c r="AK138" s="0" t="n">
        <v>0.000205591484728</v>
      </c>
      <c r="AL138" s="0" t="n">
        <f aca="false">AK138-0.00003104361</f>
        <v>0.000174547874728</v>
      </c>
      <c r="AM138" s="0" t="n">
        <v>0.65935489463292</v>
      </c>
      <c r="AN138" s="0" t="n">
        <v>2.82036904952616E-005</v>
      </c>
      <c r="AO138" s="0" t="n">
        <v>0.00013851704649</v>
      </c>
      <c r="AP138" s="0" t="n">
        <v>0.777818886490424</v>
      </c>
      <c r="AQ138" s="0" t="n">
        <v>0.000205591484728</v>
      </c>
      <c r="AR138" s="0" t="n">
        <v>0.000174547874728</v>
      </c>
      <c r="AS138" s="0" t="n">
        <v>0.65935489463292</v>
      </c>
      <c r="AT138" s="0" t="n">
        <v>5.64073809905232E-005</v>
      </c>
      <c r="AU138" s="3" t="n">
        <v>0.068011135447278</v>
      </c>
      <c r="AV138" s="0" t="n">
        <v>0.0982366619995452</v>
      </c>
      <c r="AW138" s="0" t="n">
        <v>0.0002326386897225</v>
      </c>
      <c r="AZ138" s="0" t="n">
        <v>0.245349348410047</v>
      </c>
      <c r="BA138" s="0" t="n">
        <v>0.226549348410047</v>
      </c>
      <c r="BC138" s="0" t="n">
        <v>0.188714461885369</v>
      </c>
      <c r="BD138" s="0" t="n">
        <v>0.169914461885369</v>
      </c>
      <c r="BE138" s="0" t="n">
        <v>0.114500641960517</v>
      </c>
      <c r="BF138" s="3" t="n">
        <v>0.075500641960517</v>
      </c>
      <c r="BG138" s="0" t="n">
        <v>0.0455284085749098</v>
      </c>
      <c r="BH138" s="0" t="n">
        <f aca="false">M138/BG138</f>
        <v>0.807964375314245</v>
      </c>
      <c r="BI138" s="0" t="n">
        <v>0.000291384820226141</v>
      </c>
      <c r="BJ138" s="0" t="n">
        <v>0.640034748586949</v>
      </c>
      <c r="BK138" s="0" t="n">
        <v>0.169552781486157</v>
      </c>
      <c r="BL138" s="0" t="n">
        <v>0.132022679806332</v>
      </c>
      <c r="BM138" s="0" t="n">
        <v>0.113222679806332</v>
      </c>
      <c r="BN138" s="0" t="e">
        <f aca="false">#REF!/#REF!</f>
        <v>#REF!</v>
      </c>
      <c r="BO138" s="20" t="n">
        <v>0.0714224542565</v>
      </c>
    </row>
    <row r="139" customFormat="false" ht="12.8" hidden="false" customHeight="false" outlineLevel="0" collapsed="false">
      <c r="A139" s="0" t="s">
        <v>192</v>
      </c>
      <c r="B139" s="0" t="s">
        <v>50</v>
      </c>
      <c r="C139" s="21" t="s">
        <v>59</v>
      </c>
      <c r="D139" s="0" t="s">
        <v>187</v>
      </c>
      <c r="E139" s="0" t="n">
        <v>0.13785</v>
      </c>
      <c r="F139" s="0" t="n">
        <v>1.602</v>
      </c>
      <c r="G139" s="0" t="n">
        <v>514</v>
      </c>
      <c r="H139" s="0" t="n">
        <v>446</v>
      </c>
      <c r="I139" s="0" t="s">
        <v>53</v>
      </c>
      <c r="J139" s="0" t="n">
        <v>0</v>
      </c>
      <c r="K139" s="0" t="n">
        <v>0.070021</v>
      </c>
      <c r="L139" s="0" t="n">
        <v>0.0150051084092905</v>
      </c>
      <c r="M139" s="1" t="n">
        <v>0.02356633168901</v>
      </c>
      <c r="N139" s="0" t="n">
        <v>0.215771223916026</v>
      </c>
      <c r="O139" s="0" t="n">
        <v>0.206562915824399</v>
      </c>
      <c r="P139" s="0" t="n">
        <v>0.169075385432917</v>
      </c>
      <c r="Q139" s="0" t="n">
        <v>0.230525452623263</v>
      </c>
      <c r="R139" s="19" t="n">
        <v>0.0724965087592</v>
      </c>
      <c r="S139" s="19" t="n">
        <v>0.0574914003499095</v>
      </c>
      <c r="T139" s="0" t="n">
        <v>7.05006903323667E-005</v>
      </c>
      <c r="U139" s="19" t="n">
        <v>9.83197171057E-005</v>
      </c>
      <c r="V139" s="19" t="n">
        <v>8.44162787831667E-005</v>
      </c>
      <c r="X139" s="20"/>
      <c r="Y139" s="20"/>
      <c r="Z139" s="1"/>
      <c r="AA139" s="1"/>
      <c r="AB139" s="19"/>
      <c r="AJ139" s="0" t="n">
        <v>0.934734837447457</v>
      </c>
      <c r="AK139" s="0" t="n">
        <v>0.0001123036688585</v>
      </c>
      <c r="AL139" s="0" t="n">
        <f aca="false">AK139-0.0000278190267733333</f>
        <v>8.44846420851667E-005</v>
      </c>
      <c r="AM139" s="0" t="n">
        <v>0.963232369480463</v>
      </c>
      <c r="AN139" s="0" t="n">
        <v>0.000958712793162916</v>
      </c>
      <c r="AO139" s="0" t="n">
        <v>7.05006903323667E-005</v>
      </c>
      <c r="AP139" s="0" t="n">
        <v>0.934734837447457</v>
      </c>
      <c r="AQ139" s="0" t="n">
        <v>0.0001122353055565</v>
      </c>
      <c r="AR139" s="0" t="n">
        <v>8.44162787831667E-005</v>
      </c>
      <c r="AS139" s="0" t="n">
        <v>0.976035015894246</v>
      </c>
      <c r="AT139" s="0" t="n">
        <v>0.00224119975193495</v>
      </c>
      <c r="AU139" s="3" t="n">
        <v>0.0386147974225034</v>
      </c>
      <c r="AV139" s="0" t="n">
        <v>0.000370319040375215</v>
      </c>
      <c r="AW139" s="0" t="n">
        <v>0.000205532700653667</v>
      </c>
      <c r="AZ139" s="0" t="n">
        <v>0.254382333924158</v>
      </c>
      <c r="BA139" s="0" t="n">
        <v>0.235582333924158</v>
      </c>
      <c r="BC139" s="0" t="n">
        <v>0.187875385432917</v>
      </c>
      <c r="BD139" s="0" t="n">
        <v>0.169075385432917</v>
      </c>
      <c r="BE139" s="0" t="n">
        <v>0.082916662540072</v>
      </c>
      <c r="BF139" s="3" t="n">
        <v>0.045316662540072</v>
      </c>
      <c r="BG139" s="0" t="n">
        <v>0.0283151182569244</v>
      </c>
      <c r="BH139" s="0" t="n">
        <f aca="false">M139/BG139</f>
        <v>0.832287948620766</v>
      </c>
      <c r="BI139" s="0" t="n">
        <v>6.82527391932571E-005</v>
      </c>
      <c r="BJ139" s="0" t="n">
        <v>0.455586119326667</v>
      </c>
      <c r="BK139" s="0" t="n">
        <v>0</v>
      </c>
      <c r="BL139" s="0" t="n">
        <v>0</v>
      </c>
      <c r="BM139" s="0" t="n">
        <v>0</v>
      </c>
      <c r="BN139" s="0" t="e">
        <f aca="false">#REF!/#REF!</f>
        <v>#REF!</v>
      </c>
      <c r="BO139" s="20" t="n">
        <v>0.0534662161616</v>
      </c>
    </row>
    <row r="140" customFormat="false" ht="12.8" hidden="false" customHeight="false" outlineLevel="0" collapsed="false">
      <c r="A140" s="0" t="s">
        <v>193</v>
      </c>
      <c r="B140" s="0" t="s">
        <v>50</v>
      </c>
      <c r="C140" s="21" t="s">
        <v>59</v>
      </c>
      <c r="D140" s="0" t="s">
        <v>187</v>
      </c>
      <c r="E140" s="0" t="n">
        <v>0.201075</v>
      </c>
      <c r="F140" s="0" t="n">
        <v>2.69875</v>
      </c>
      <c r="G140" s="0" t="n">
        <v>419</v>
      </c>
      <c r="H140" s="0" t="n">
        <v>369</v>
      </c>
      <c r="I140" s="0" t="s">
        <v>55</v>
      </c>
      <c r="J140" s="0" t="n">
        <v>0</v>
      </c>
      <c r="K140" s="0" t="n">
        <v>0.0857804</v>
      </c>
      <c r="L140" s="0" t="n">
        <v>0.0122322987982961</v>
      </c>
      <c r="M140" s="1" t="n">
        <v>0.0242708647412288</v>
      </c>
      <c r="N140" s="0" t="n">
        <v>0.338749284020954</v>
      </c>
      <c r="O140" s="0" t="n">
        <v>0.251361168722052</v>
      </c>
      <c r="P140" s="0" t="n">
        <v>0.189996001929707</v>
      </c>
      <c r="Q140" s="0" t="n">
        <v>0.334551934145566</v>
      </c>
      <c r="R140" s="19" t="n">
        <v>0.0821296218168</v>
      </c>
      <c r="S140" s="19" t="n">
        <v>0.0698973230185039</v>
      </c>
      <c r="T140" s="0" t="n">
        <v>6.36818649385667E-005</v>
      </c>
      <c r="U140" s="19" t="n">
        <v>9.15008917119E-005</v>
      </c>
      <c r="V140" s="19" t="n">
        <v>0.000143196680938667</v>
      </c>
      <c r="X140" s="20"/>
      <c r="Y140" s="20"/>
      <c r="Z140" s="1"/>
      <c r="AA140" s="1"/>
      <c r="AB140" s="19"/>
      <c r="AJ140" s="0" t="n">
        <v>3.1298573132922</v>
      </c>
      <c r="AK140" s="0" t="n">
        <v>0.000179059567682</v>
      </c>
      <c r="AL140" s="0" t="n">
        <f aca="false">AK140-0.0000278190267733333</f>
        <v>0.000151240540908667</v>
      </c>
      <c r="AM140" s="0" t="n">
        <v>0.612532487103697</v>
      </c>
      <c r="AN140" s="0" t="n">
        <v>3.651464E-014</v>
      </c>
      <c r="AO140" s="0" t="n">
        <v>6.07289790362667E-005</v>
      </c>
      <c r="AP140" s="0" t="n">
        <v>3.19432361314124</v>
      </c>
      <c r="AQ140" s="0" t="n">
        <v>0.000171015707712</v>
      </c>
      <c r="AR140" s="0" t="n">
        <v>0.000143196680938667</v>
      </c>
      <c r="AS140" s="0" t="n">
        <v>0.688352933885594</v>
      </c>
      <c r="AT140" s="0" t="n">
        <v>4.489504E-014</v>
      </c>
      <c r="AU140" s="3" t="n">
        <v>0.0569088697802576</v>
      </c>
      <c r="AV140" s="0" t="n">
        <v>0.380472090421449</v>
      </c>
      <c r="AW140" s="0" t="n">
        <v>0.000163140029706667</v>
      </c>
      <c r="AZ140" s="0" t="n">
        <v>0.334949406369907</v>
      </c>
      <c r="BA140" s="0" t="n">
        <v>0.316149406369907</v>
      </c>
      <c r="BC140" s="0" t="n">
        <v>0.208796001929707</v>
      </c>
      <c r="BD140" s="0" t="n">
        <v>0.189996001929707</v>
      </c>
      <c r="BE140" s="0" t="n">
        <v>0.0934152362364946</v>
      </c>
      <c r="BF140" s="3" t="n">
        <v>0.0558152362364946</v>
      </c>
      <c r="BG140" s="0" t="n">
        <v>0.038422001736569</v>
      </c>
      <c r="BH140" s="0" t="n">
        <f aca="false">M140/BG140</f>
        <v>0.631691833955868</v>
      </c>
      <c r="BI140" s="0" t="n">
        <v>2.4633369E-013</v>
      </c>
      <c r="BJ140" s="0" t="n">
        <v>0.452007574901941</v>
      </c>
      <c r="BK140" s="0" t="n">
        <v>0</v>
      </c>
      <c r="BL140" s="0" t="n">
        <v>0</v>
      </c>
      <c r="BM140" s="0" t="n">
        <v>0</v>
      </c>
      <c r="BN140" s="0" t="e">
        <f aca="false">#REF!/#REF!</f>
        <v>#REF!</v>
      </c>
      <c r="BO140" s="20" t="n">
        <v>0.0756506451388</v>
      </c>
    </row>
    <row r="141" customFormat="false" ht="12.8" hidden="false" customHeight="false" outlineLevel="0" collapsed="false">
      <c r="A141" s="0" t="s">
        <v>194</v>
      </c>
      <c r="B141" s="0" t="s">
        <v>50</v>
      </c>
      <c r="C141" s="21" t="s">
        <v>59</v>
      </c>
      <c r="D141" s="0" t="s">
        <v>187</v>
      </c>
      <c r="E141" s="0" t="n">
        <v>0.140225</v>
      </c>
      <c r="F141" s="0" t="n">
        <v>1.62575</v>
      </c>
      <c r="G141" s="0" t="n">
        <v>699</v>
      </c>
      <c r="H141" s="0" t="n">
        <v>640</v>
      </c>
      <c r="I141" s="0" t="s">
        <v>53</v>
      </c>
      <c r="J141" s="0" t="n">
        <v>0</v>
      </c>
      <c r="K141" s="0" t="n">
        <v>0.104779</v>
      </c>
      <c r="L141" s="0" t="n">
        <v>0.0203204875686462</v>
      </c>
      <c r="M141" s="1" t="n">
        <v>0.0188507362566219</v>
      </c>
      <c r="N141" s="0" t="n">
        <v>0.255962302807117</v>
      </c>
      <c r="O141" s="0" t="n">
        <v>0.230850112710012</v>
      </c>
      <c r="P141" s="0" t="n">
        <v>0.180225066911961</v>
      </c>
      <c r="Q141" s="0" t="n">
        <v>0.251644335770659</v>
      </c>
      <c r="R141" s="19" t="n">
        <v>0.0879938714824</v>
      </c>
      <c r="S141" s="19" t="n">
        <v>0.0676733839137538</v>
      </c>
      <c r="T141" s="0" t="n">
        <v>5.54667573237667E-005</v>
      </c>
      <c r="U141" s="19" t="n">
        <v>8.32857840971E-005</v>
      </c>
      <c r="V141" s="19" t="n">
        <v>7.37033701036667E-005</v>
      </c>
      <c r="X141" s="20"/>
      <c r="Y141" s="20"/>
      <c r="Z141" s="1"/>
      <c r="AA141" s="1"/>
      <c r="AB141" s="19"/>
      <c r="AJ141" s="0" t="n">
        <v>0.756069611623223</v>
      </c>
      <c r="AK141" s="0" t="n">
        <v>0.000101522396877</v>
      </c>
      <c r="AL141" s="0" t="n">
        <f aca="false">AK141-0.0000278190267733333</f>
        <v>7.37033701036667E-005</v>
      </c>
      <c r="AM141" s="0" t="n">
        <v>0.894537818653895</v>
      </c>
      <c r="AN141" s="0" t="n">
        <v>5.371603E-014</v>
      </c>
      <c r="AO141" s="0" t="n">
        <v>5.54667573237667E-005</v>
      </c>
      <c r="AP141" s="0" t="n">
        <v>0.756069611623223</v>
      </c>
      <c r="AQ141" s="0" t="n">
        <v>0.000101522396877</v>
      </c>
      <c r="AR141" s="0" t="n">
        <v>7.37033701036667E-005</v>
      </c>
      <c r="AS141" s="0" t="n">
        <v>0.894537818653895</v>
      </c>
      <c r="AT141" s="0" t="n">
        <v>1.0743206E-013</v>
      </c>
      <c r="AU141" s="3" t="n">
        <v>0.0514208543809082</v>
      </c>
      <c r="AV141" s="0" t="n">
        <v>1.07138875689603E-005</v>
      </c>
      <c r="AW141" s="0" t="n">
        <v>0.000175166767770667</v>
      </c>
      <c r="AZ141" s="0" t="n">
        <v>0.287992963311423</v>
      </c>
      <c r="BA141" s="0" t="n">
        <v>0.269192963311423</v>
      </c>
      <c r="BC141" s="0" t="n">
        <v>0.199025066911961</v>
      </c>
      <c r="BD141" s="0" t="n">
        <v>0.180225066911961</v>
      </c>
      <c r="BE141" s="0" t="n">
        <v>0.0972216956265652</v>
      </c>
      <c r="BF141" s="3" t="n">
        <v>0.0596216956265652</v>
      </c>
      <c r="BG141" s="0" t="n">
        <v>0.0258741525301352</v>
      </c>
      <c r="BH141" s="0" t="n">
        <f aca="false">M141/BG141</f>
        <v>0.728554731779785</v>
      </c>
      <c r="BI141" s="0" t="n">
        <v>5.634439E-014</v>
      </c>
      <c r="BJ141" s="0" t="n">
        <v>0.489245545804555</v>
      </c>
      <c r="BK141" s="0" t="n">
        <v>0</v>
      </c>
      <c r="BL141" s="0" t="n">
        <v>0</v>
      </c>
      <c r="BM141" s="0" t="n">
        <v>0</v>
      </c>
      <c r="BN141" s="0" t="e">
        <f aca="false">#REF!/#REF!</f>
        <v>#REF!</v>
      </c>
      <c r="BO141" s="20" t="n">
        <v>0.0745187413996</v>
      </c>
    </row>
    <row r="142" customFormat="false" ht="12.8" hidden="false" customHeight="false" outlineLevel="0" collapsed="false">
      <c r="A142" s="0" t="s">
        <v>195</v>
      </c>
      <c r="B142" s="0" t="s">
        <v>50</v>
      </c>
      <c r="C142" s="21" t="s">
        <v>59</v>
      </c>
      <c r="D142" s="0" t="s">
        <v>187</v>
      </c>
      <c r="E142" s="0" t="n">
        <v>0.14815</v>
      </c>
      <c r="F142" s="0" t="n">
        <v>1.738</v>
      </c>
      <c r="G142" s="0" t="n">
        <v>302</v>
      </c>
      <c r="H142" s="0" t="n">
        <v>263</v>
      </c>
      <c r="I142" s="0" t="s">
        <v>53</v>
      </c>
      <c r="J142" s="0" t="n">
        <v>0</v>
      </c>
      <c r="K142" s="0" t="n">
        <v>0.041843</v>
      </c>
      <c r="L142" s="0" t="n">
        <v>0.00884369849113667</v>
      </c>
      <c r="M142" s="1" t="n">
        <v>0.0268180975636556</v>
      </c>
      <c r="N142" s="0" t="n">
        <v>0.304891016250794</v>
      </c>
      <c r="O142" s="0" t="n">
        <v>0.191720166848748</v>
      </c>
      <c r="P142" s="0" t="n">
        <v>0.149631725294713</v>
      </c>
      <c r="Q142" s="0" t="n">
        <v>0.300372875036402</v>
      </c>
      <c r="R142" s="19" t="n">
        <v>0.07210478734</v>
      </c>
      <c r="S142" s="19" t="n">
        <v>0.0632610888488633</v>
      </c>
      <c r="T142" s="0" t="n">
        <v>6.93500744416667E-005</v>
      </c>
      <c r="U142" s="19" t="n">
        <v>9.7169101215E-005</v>
      </c>
      <c r="V142" s="19" t="n">
        <v>0.000166677300270167</v>
      </c>
      <c r="X142" s="20"/>
      <c r="Y142" s="20"/>
      <c r="Z142" s="1"/>
      <c r="AA142" s="1"/>
      <c r="AB142" s="19"/>
      <c r="AJ142" s="0" t="n">
        <v>4.36105291271801</v>
      </c>
      <c r="AK142" s="0" t="n">
        <v>0.000187753023579</v>
      </c>
      <c r="AL142" s="0" t="n">
        <f aca="false">AK142-0.0000278190267733333</f>
        <v>0.000159933996805667</v>
      </c>
      <c r="AM142" s="0" t="n">
        <v>0.66661651797494</v>
      </c>
      <c r="AN142" s="0" t="n">
        <v>3.284396E-014</v>
      </c>
      <c r="AO142" s="0" t="n">
        <v>6.93500744416667E-005</v>
      </c>
      <c r="AP142" s="0" t="n">
        <v>4.36105291271801</v>
      </c>
      <c r="AQ142" s="0" t="n">
        <v>0.0001944963270435</v>
      </c>
      <c r="AR142" s="0" t="n">
        <v>0.000166677300270167</v>
      </c>
      <c r="AS142" s="0" t="n">
        <v>0.641130779140033</v>
      </c>
      <c r="AT142" s="0" t="n">
        <v>2.520113E-014</v>
      </c>
      <c r="AU142" s="3" t="n">
        <v>0.065794525144159</v>
      </c>
      <c r="AV142" s="0" t="n">
        <v>0.284426091633585</v>
      </c>
      <c r="AW142" s="0" t="n">
        <v>0.000117959507696667</v>
      </c>
      <c r="AZ142" s="0" t="n">
        <v>0.325502353887035</v>
      </c>
      <c r="BA142" s="0" t="n">
        <v>0.306002353887035</v>
      </c>
      <c r="BC142" s="0" t="n">
        <v>0.169131725294713</v>
      </c>
      <c r="BD142" s="0" t="n">
        <v>0.149631725294713</v>
      </c>
      <c r="BE142" s="0" t="n">
        <v>0.104689396924482</v>
      </c>
      <c r="BF142" s="3" t="n">
        <v>0.067089396924482</v>
      </c>
      <c r="BG142" s="0" t="n">
        <v>0.0417360861541479</v>
      </c>
      <c r="BH142" s="0" t="n">
        <f aca="false">M142/BG142</f>
        <v>0.642563786757717</v>
      </c>
      <c r="BI142" s="0" t="n">
        <v>1.12422826326E-009</v>
      </c>
      <c r="BJ142" s="0" t="n">
        <v>0.651976698426037</v>
      </c>
      <c r="BK142" s="0" t="n">
        <v>0</v>
      </c>
      <c r="BL142" s="0" t="n">
        <v>0</v>
      </c>
      <c r="BM142" s="0" t="n">
        <v>0</v>
      </c>
      <c r="BN142" s="0" t="e">
        <f aca="false">#REF!/#REF!</f>
        <v>#REF!</v>
      </c>
      <c r="BO142" s="20" t="n">
        <v>0.0592415358712</v>
      </c>
    </row>
    <row r="143" customFormat="false" ht="12.8" hidden="false" customHeight="false" outlineLevel="0" collapsed="false">
      <c r="A143" s="0" t="s">
        <v>196</v>
      </c>
      <c r="B143" s="0" t="s">
        <v>50</v>
      </c>
      <c r="C143" s="0" t="s">
        <v>51</v>
      </c>
      <c r="D143" s="0" t="s">
        <v>187</v>
      </c>
      <c r="E143" s="0" t="n">
        <v>0.149575</v>
      </c>
      <c r="F143" s="0" t="n">
        <v>1.7695</v>
      </c>
      <c r="G143" s="0" t="n">
        <v>229</v>
      </c>
      <c r="H143" s="0" t="n">
        <v>193</v>
      </c>
      <c r="I143" s="0" t="s">
        <v>53</v>
      </c>
      <c r="J143" s="0" t="n">
        <v>0.0204118509</v>
      </c>
      <c r="K143" s="0" t="n">
        <v>0.045726</v>
      </c>
      <c r="L143" s="0" t="n">
        <v>0.00744971529323985</v>
      </c>
      <c r="M143" s="1" t="n">
        <v>0.0293108769561856</v>
      </c>
      <c r="N143" s="0" t="n">
        <v>0.269709013880361</v>
      </c>
      <c r="O143" s="0" t="n">
        <v>0.184539208968702</v>
      </c>
      <c r="P143" s="0" t="n">
        <v>0.129367981644503</v>
      </c>
      <c r="Q143" s="0" t="n">
        <v>0.280028910237425</v>
      </c>
      <c r="R143" s="19" t="n">
        <v>0.0501575556405</v>
      </c>
      <c r="S143" s="19" t="n">
        <v>0.0427078403472602</v>
      </c>
      <c r="T143" s="0" t="n">
        <v>5.834778766E-005</v>
      </c>
      <c r="U143" s="19" t="n">
        <v>8.939139766E-005</v>
      </c>
      <c r="V143" s="19" t="n">
        <v>0.0001262695093</v>
      </c>
      <c r="X143" s="20"/>
      <c r="Y143" s="20"/>
      <c r="Z143" s="1"/>
      <c r="AA143" s="1"/>
      <c r="AB143" s="19"/>
      <c r="AJ143" s="0" t="n">
        <v>1.75898993491002</v>
      </c>
      <c r="AK143" s="0" t="n">
        <v>0.0001568605912375</v>
      </c>
      <c r="AL143" s="0" t="n">
        <f aca="false">AK143-0.00003104361</f>
        <v>0.0001258169812375</v>
      </c>
      <c r="AM143" s="0" t="n">
        <v>0.628004466846119</v>
      </c>
      <c r="AN143" s="0" t="n">
        <v>3.12933651E-012</v>
      </c>
      <c r="AO143" s="0" t="n">
        <v>5.834778766E-005</v>
      </c>
      <c r="AP143" s="0" t="n">
        <v>1.75898993491002</v>
      </c>
      <c r="AQ143" s="0" t="n">
        <v>0.0001573131193</v>
      </c>
      <c r="AR143" s="0" t="n">
        <v>0.0001262695093</v>
      </c>
      <c r="AS143" s="0" t="n">
        <v>0.605502670909616</v>
      </c>
      <c r="AT143" s="0" t="n">
        <v>7.65356996E-012</v>
      </c>
      <c r="AU143" s="3" t="n">
        <v>0.0574158887154466</v>
      </c>
      <c r="AV143" s="0" t="n">
        <v>0.131464381697546</v>
      </c>
      <c r="AW143" s="0" t="n">
        <v>0.000114258387243</v>
      </c>
      <c r="AZ143" s="0" t="n">
        <v>0.256681609643378</v>
      </c>
      <c r="BA143" s="0" t="n">
        <v>0.237881609643378</v>
      </c>
      <c r="BC143" s="0" t="n">
        <v>0.148167981644503</v>
      </c>
      <c r="BD143" s="0" t="n">
        <v>0.129367981644503</v>
      </c>
      <c r="BE143" s="0" t="n">
        <v>0.098022274320227</v>
      </c>
      <c r="BF143" s="3" t="n">
        <v>0.059022274320227</v>
      </c>
      <c r="BG143" s="0" t="n">
        <v>0.0386688820606658</v>
      </c>
      <c r="BH143" s="0" t="n">
        <f aca="false">M143/BG143</f>
        <v>0.757996492119972</v>
      </c>
      <c r="BI143" s="0" t="n">
        <v>4.38586602104849E-006</v>
      </c>
      <c r="BJ143" s="0" t="n">
        <v>0.732336792566652</v>
      </c>
      <c r="BK143" s="0" t="n">
        <v>0.109820177280917</v>
      </c>
      <c r="BL143" s="0" t="n">
        <v>0.139366297366415</v>
      </c>
      <c r="BM143" s="0" t="n">
        <v>0.120566297366415</v>
      </c>
      <c r="BN143" s="0" t="e">
        <f aca="false">#REF!/#REF!</f>
        <v>#REF!</v>
      </c>
      <c r="BO143" s="20" t="n">
        <v>0.04345589032</v>
      </c>
    </row>
    <row r="144" customFormat="false" ht="12.8" hidden="false" customHeight="false" outlineLevel="0" collapsed="false">
      <c r="A144" s="0" t="s">
        <v>197</v>
      </c>
      <c r="B144" s="0" t="s">
        <v>50</v>
      </c>
      <c r="C144" s="21" t="s">
        <v>59</v>
      </c>
      <c r="D144" s="0" t="s">
        <v>187</v>
      </c>
      <c r="E144" s="0" t="n">
        <v>0.40715</v>
      </c>
      <c r="F144" s="0" t="n">
        <v>3.267</v>
      </c>
      <c r="G144" s="0" t="n">
        <v>1798</v>
      </c>
      <c r="H144" s="0" t="n">
        <v>1723</v>
      </c>
      <c r="I144" s="0" t="s">
        <v>53</v>
      </c>
      <c r="J144" s="0" t="n">
        <v>0</v>
      </c>
      <c r="K144" s="0" t="n">
        <v>0.221778</v>
      </c>
      <c r="L144" s="0" t="n">
        <v>0.0524971868153753</v>
      </c>
      <c r="M144" s="1" t="n">
        <v>0.0240779269183049</v>
      </c>
      <c r="N144" s="0" t="n">
        <v>0.300481308848866</v>
      </c>
      <c r="O144" s="0" t="n">
        <v>0.307954377596673</v>
      </c>
      <c r="P144" s="0" t="n">
        <v>0.27137349116176</v>
      </c>
      <c r="Q144" s="0" t="n">
        <v>0.327525218170012</v>
      </c>
      <c r="R144" s="19" t="n">
        <v>0.29443267738</v>
      </c>
      <c r="S144" s="19" t="n">
        <v>0.241935490564625</v>
      </c>
      <c r="T144" s="0" t="n">
        <v>8.49166022876667E-005</v>
      </c>
      <c r="U144" s="19" t="n">
        <v>0.000112735629061</v>
      </c>
      <c r="V144" s="19" t="n">
        <v>0.000102713049554667</v>
      </c>
      <c r="X144" s="20"/>
      <c r="Y144" s="20"/>
      <c r="Z144" s="1"/>
      <c r="AA144" s="1"/>
      <c r="AB144" s="19"/>
      <c r="AJ144" s="0" t="n">
        <v>2.0292196112437</v>
      </c>
      <c r="AK144" s="0" t="n">
        <v>0.000130184926993</v>
      </c>
      <c r="AL144" s="0" t="n">
        <f aca="false">AK144-0.0000278190267733333</f>
        <v>0.000102365900219667</v>
      </c>
      <c r="AM144" s="0" t="n">
        <v>1.01849504073587</v>
      </c>
      <c r="AN144" s="0" t="n">
        <v>2.49297146352658E-015</v>
      </c>
      <c r="AO144" s="0" t="n">
        <v>8.48446164116667E-005</v>
      </c>
      <c r="AP144" s="0" t="n">
        <v>1.99264297956503</v>
      </c>
      <c r="AQ144" s="0" t="n">
        <v>0.000130532076328</v>
      </c>
      <c r="AR144" s="0" t="n">
        <v>0.000102713049554667</v>
      </c>
      <c r="AS144" s="0" t="n">
        <v>1.01331309967951</v>
      </c>
      <c r="AT144" s="0" t="n">
        <v>2.01608800465684E-015</v>
      </c>
      <c r="AU144" s="3" t="n">
        <v>0.098485278977864</v>
      </c>
      <c r="AV144" s="0" t="n">
        <v>4.4396833439357E-007</v>
      </c>
      <c r="AW144" s="0" t="n">
        <v>0.000200879453617667</v>
      </c>
      <c r="AZ144" s="0" t="n">
        <v>0.317418434087377</v>
      </c>
      <c r="BA144" s="0" t="n">
        <v>0.297918434087377</v>
      </c>
      <c r="BC144" s="0" t="n">
        <v>0.29087349116176</v>
      </c>
      <c r="BD144" s="0" t="n">
        <v>0.27137349116176</v>
      </c>
      <c r="BE144" s="0" t="n">
        <v>0.149695161367441</v>
      </c>
      <c r="BF144" s="3" t="n">
        <v>0.112095161367441</v>
      </c>
      <c r="BG144" s="0" t="n">
        <v>0.0300431301644844</v>
      </c>
      <c r="BH144" s="0" t="n">
        <f aca="false">M144/BG144</f>
        <v>0.801445348286934</v>
      </c>
      <c r="BI144" s="0" t="n">
        <v>1.16475621336491E-029</v>
      </c>
      <c r="BJ144" s="0" t="n">
        <v>0.516385754982909</v>
      </c>
      <c r="BK144" s="0" t="n">
        <v>0</v>
      </c>
      <c r="BL144" s="0" t="n">
        <v>0</v>
      </c>
      <c r="BM144" s="0" t="n">
        <v>0</v>
      </c>
      <c r="BN144" s="0" t="e">
        <f aca="false">#REF!/#REF!</f>
        <v>#REF!</v>
      </c>
      <c r="BO144" s="20" t="n">
        <v>0.257755639244</v>
      </c>
    </row>
    <row r="145" customFormat="false" ht="12.8" hidden="false" customHeight="false" outlineLevel="0" collapsed="false">
      <c r="A145" s="0" t="s">
        <v>198</v>
      </c>
      <c r="B145" s="0" t="s">
        <v>50</v>
      </c>
      <c r="C145" s="0" t="s">
        <v>51</v>
      </c>
      <c r="D145" s="0" t="s">
        <v>187</v>
      </c>
      <c r="E145" s="0" t="n">
        <v>0.509525</v>
      </c>
      <c r="F145" s="0" t="n">
        <v>4.135</v>
      </c>
      <c r="G145" s="0" t="n">
        <v>1677</v>
      </c>
      <c r="H145" s="0" t="n">
        <v>1623</v>
      </c>
      <c r="I145" s="0" t="s">
        <v>53</v>
      </c>
      <c r="J145" s="0" t="n">
        <v>0.0384462625</v>
      </c>
      <c r="K145" s="0" t="n">
        <v>0.455443</v>
      </c>
      <c r="L145" s="0" t="n">
        <v>0.0545595663614712</v>
      </c>
      <c r="M145" s="1" t="n">
        <v>0.0223630201832034</v>
      </c>
      <c r="N145" s="0" t="n">
        <v>0.286228637071056</v>
      </c>
      <c r="O145" s="0" t="n">
        <v>0.311019127780078</v>
      </c>
      <c r="P145" s="0" t="n">
        <v>0.255122446418831</v>
      </c>
      <c r="Q145" s="0" t="n">
        <v>0.294254833147066</v>
      </c>
      <c r="R145" s="19" t="n">
        <v>0.371742787495</v>
      </c>
      <c r="S145" s="19" t="n">
        <v>0.317183221133529</v>
      </c>
      <c r="T145" s="0" t="n">
        <v>7.5373542586E-005</v>
      </c>
      <c r="U145" s="19" t="n">
        <v>0.000106417152586</v>
      </c>
      <c r="V145" s="19" t="n">
        <v>0.0001397535732075</v>
      </c>
      <c r="X145" s="20"/>
      <c r="Y145" s="20"/>
      <c r="Z145" s="1"/>
      <c r="AA145" s="1"/>
      <c r="AB145" s="19"/>
      <c r="AJ145" s="0" t="n">
        <v>5.59652056234983</v>
      </c>
      <c r="AK145" s="0" t="n">
        <v>0.000189284868278</v>
      </c>
      <c r="AL145" s="0" t="n">
        <f aca="false">AK145-0.00003104361</f>
        <v>0.000158241258278</v>
      </c>
      <c r="AM145" s="0" t="n">
        <v>0.966484069458103</v>
      </c>
      <c r="AN145" s="0" t="n">
        <v>9.04521038389403E-134</v>
      </c>
      <c r="AO145" s="0" t="n">
        <v>7.4810460509E-005</v>
      </c>
      <c r="AP145" s="0" t="n">
        <v>5.89513639033143</v>
      </c>
      <c r="AQ145" s="0" t="n">
        <v>0.0001707971832075</v>
      </c>
      <c r="AR145" s="0" t="n">
        <v>0.0001397535732075</v>
      </c>
      <c r="AS145" s="0" t="n">
        <v>0.842090035727447</v>
      </c>
      <c r="AT145" s="0" t="n">
        <v>4.60190697260301E-098</v>
      </c>
      <c r="AU145" s="3" t="n">
        <v>0.132340862960361</v>
      </c>
      <c r="AV145" s="0" t="n">
        <v>0.0566168451229315</v>
      </c>
      <c r="AW145" s="0" t="n">
        <v>0.000164342183121</v>
      </c>
      <c r="AZ145" s="0" t="n">
        <v>0.426345764510281</v>
      </c>
      <c r="BA145" s="0" t="n">
        <v>0.407545764510281</v>
      </c>
      <c r="BC145" s="0" t="n">
        <v>0.273922446418831</v>
      </c>
      <c r="BD145" s="0" t="n">
        <v>0.255122446418831</v>
      </c>
      <c r="BE145" s="0" t="n">
        <v>0.175652644099388</v>
      </c>
      <c r="BF145" s="3" t="n">
        <v>0.136652644099388</v>
      </c>
      <c r="BG145" s="0" t="n">
        <v>0.0379350527827516</v>
      </c>
      <c r="BH145" s="0" t="n">
        <f aca="false">M145/BG145</f>
        <v>0.589508081385127</v>
      </c>
      <c r="BI145" s="0" t="n">
        <v>5.34764323469205E-119</v>
      </c>
      <c r="BJ145" s="0" t="n">
        <v>0.636445334541839</v>
      </c>
      <c r="BK145" s="0" t="n">
        <v>0.239133265796098</v>
      </c>
      <c r="BL145" s="0" t="n">
        <v>0.312471877309471</v>
      </c>
      <c r="BM145" s="0" t="n">
        <v>0.293671877309471</v>
      </c>
      <c r="BN145" s="0" t="e">
        <f aca="false">#REF!/#REF!</f>
        <v>#REF!</v>
      </c>
      <c r="BO145" s="20" t="n">
        <v>0.3445034871</v>
      </c>
    </row>
    <row r="146" customFormat="false" ht="12.8" hidden="false" customHeight="false" outlineLevel="0" collapsed="false">
      <c r="A146" s="0" t="s">
        <v>123</v>
      </c>
      <c r="B146" s="0" t="s">
        <v>50</v>
      </c>
      <c r="C146" s="21" t="s">
        <v>59</v>
      </c>
      <c r="D146" s="0" t="s">
        <v>187</v>
      </c>
      <c r="E146" s="0" t="n">
        <v>0.209875</v>
      </c>
      <c r="F146" s="0" t="n">
        <v>2.2225</v>
      </c>
      <c r="G146" s="0" t="n">
        <v>656</v>
      </c>
      <c r="H146" s="0" t="n">
        <v>595</v>
      </c>
      <c r="I146" s="0" t="s">
        <v>53</v>
      </c>
      <c r="J146" s="0" t="n">
        <v>0</v>
      </c>
      <c r="K146" s="0" t="n">
        <v>0.148835</v>
      </c>
      <c r="L146" s="0" t="n">
        <v>0.0191543555099499</v>
      </c>
      <c r="M146" s="1" t="n">
        <v>0.0256518651860209</v>
      </c>
      <c r="N146" s="0" t="n">
        <v>0.246022713694261</v>
      </c>
      <c r="O146" s="0" t="n">
        <v>0.233558427422953</v>
      </c>
      <c r="P146" s="0" t="n">
        <v>0.198603326247974</v>
      </c>
      <c r="Q146" s="0" t="n">
        <v>0.224705068004006</v>
      </c>
      <c r="R146" s="19" t="n">
        <v>0.111537245884</v>
      </c>
      <c r="S146" s="19" t="n">
        <v>0.0923828903740501</v>
      </c>
      <c r="T146" s="0" t="n">
        <v>8.15717634751667E-005</v>
      </c>
      <c r="U146" s="19" t="n">
        <v>0.0001093907902485</v>
      </c>
      <c r="V146" s="19" t="n">
        <v>0.000100106121541667</v>
      </c>
      <c r="X146" s="20"/>
      <c r="Y146" s="20"/>
      <c r="Z146" s="1"/>
      <c r="AA146" s="1"/>
      <c r="AB146" s="19"/>
      <c r="AJ146" s="0" t="n">
        <v>1.98967759642624</v>
      </c>
      <c r="AK146" s="0" t="n">
        <v>0.000127446280767</v>
      </c>
      <c r="AL146" s="0" t="n">
        <f aca="false">AK146-0.0000278190267733333</f>
        <v>9.96272539936667E-005</v>
      </c>
      <c r="AM146" s="0" t="n">
        <v>0.729494237153064</v>
      </c>
      <c r="AN146" s="0" t="n">
        <v>8.68280254265811E-006</v>
      </c>
      <c r="AO146" s="0" t="n">
        <v>8.15717634751667E-005</v>
      </c>
      <c r="AP146" s="0" t="n">
        <v>1.98967759642624</v>
      </c>
      <c r="AQ146" s="0" t="n">
        <v>0.000127925148315</v>
      </c>
      <c r="AR146" s="0" t="n">
        <v>0.000100106121541667</v>
      </c>
      <c r="AS146" s="0" t="n">
        <v>0.733086410181153</v>
      </c>
      <c r="AT146" s="0" t="n">
        <v>1.77686979982968E-005</v>
      </c>
      <c r="AU146" s="3" t="n">
        <v>0.0604869843198405</v>
      </c>
      <c r="AV146" s="0" t="n">
        <v>0.000543992592988959</v>
      </c>
      <c r="AW146" s="0" t="n">
        <v>0.000198692756775667</v>
      </c>
      <c r="AZ146" s="0" t="n">
        <v>0.310955589272249</v>
      </c>
      <c r="BA146" s="0" t="n">
        <v>0.292155589272249</v>
      </c>
      <c r="BC146" s="0" t="n">
        <v>0.217403326247974</v>
      </c>
      <c r="BD146" s="0" t="n">
        <v>0.198603326247974</v>
      </c>
      <c r="BE146" s="0" t="n">
        <v>0.107489756375514</v>
      </c>
      <c r="BF146" s="3" t="n">
        <v>0.069889756375514</v>
      </c>
      <c r="BG146" s="0" t="n">
        <v>0.0319269194131584</v>
      </c>
      <c r="BH146" s="0" t="n">
        <f aca="false">M146/BG146</f>
        <v>0.803455693738141</v>
      </c>
      <c r="BI146" s="0" t="n">
        <v>1.9594848211585E-007</v>
      </c>
      <c r="BJ146" s="0" t="n">
        <v>0.512200294117438</v>
      </c>
      <c r="BK146" s="0" t="n">
        <v>0</v>
      </c>
      <c r="BL146" s="0" t="n">
        <v>0</v>
      </c>
      <c r="BM146" s="0" t="n">
        <v>0</v>
      </c>
      <c r="BN146" s="0" t="e">
        <f aca="false">#REF!/#REF!</f>
        <v>#REF!</v>
      </c>
      <c r="BO146" s="20" t="n">
        <v>0.095774942948</v>
      </c>
    </row>
    <row r="147" customFormat="false" ht="12.8" hidden="false" customHeight="false" outlineLevel="0" collapsed="false">
      <c r="A147" s="0" t="s">
        <v>199</v>
      </c>
      <c r="B147" s="0" t="s">
        <v>50</v>
      </c>
      <c r="C147" s="21" t="s">
        <v>59</v>
      </c>
      <c r="D147" s="0" t="s">
        <v>187</v>
      </c>
      <c r="E147" s="0" t="n">
        <v>0.1393</v>
      </c>
      <c r="F147" s="0" t="n">
        <v>1.63</v>
      </c>
      <c r="G147" s="0" t="n">
        <v>264</v>
      </c>
      <c r="H147" s="0" t="n">
        <v>225</v>
      </c>
      <c r="I147" s="0" t="s">
        <v>53</v>
      </c>
      <c r="J147" s="0" t="n">
        <v>0</v>
      </c>
      <c r="K147" s="0" t="n">
        <v>0.047335</v>
      </c>
      <c r="L147" s="0" t="n">
        <v>0.00770853391524387</v>
      </c>
      <c r="M147" s="1" t="n">
        <v>0.0334574300175779</v>
      </c>
      <c r="N147" s="0" t="n">
        <v>0.320306160385124</v>
      </c>
      <c r="O147" s="0" t="n">
        <v>0.212127022031296</v>
      </c>
      <c r="P147" s="0" t="n">
        <v>0.153055039033197</v>
      </c>
      <c r="Q147" s="0" t="n">
        <v>0.296382793031343</v>
      </c>
      <c r="R147" s="19" t="n">
        <v>0.0646170358136</v>
      </c>
      <c r="S147" s="19" t="n">
        <v>0.0569085018983561</v>
      </c>
      <c r="T147" s="0" t="n">
        <v>9.00750011416667E-005</v>
      </c>
      <c r="U147" s="19" t="n">
        <v>0.000117894027915</v>
      </c>
      <c r="V147" s="19" t="n">
        <v>0.000178099041686667</v>
      </c>
      <c r="X147" s="20"/>
      <c r="Y147" s="20"/>
      <c r="Z147" s="1"/>
      <c r="AA147" s="1"/>
      <c r="AB147" s="19"/>
      <c r="AJ147" s="0" t="n">
        <v>2.2945810017595</v>
      </c>
      <c r="AK147" s="0" t="n">
        <v>0.00020591806846</v>
      </c>
      <c r="AL147" s="0" t="n">
        <f aca="false">AK147-0.0000278190267733333</f>
        <v>0.000178099041686667</v>
      </c>
      <c r="AM147" s="0" t="n">
        <v>1.39234353398823</v>
      </c>
      <c r="AN147" s="0" t="n">
        <v>9.9149553E-013</v>
      </c>
      <c r="AO147" s="0" t="n">
        <v>9.00750011416667E-005</v>
      </c>
      <c r="AP147" s="0" t="n">
        <v>2.2945810017595</v>
      </c>
      <c r="AQ147" s="0" t="n">
        <v>0.00020591806846</v>
      </c>
      <c r="AR147" s="0" t="n">
        <v>0.000178099041686667</v>
      </c>
      <c r="AS147" s="0" t="n">
        <v>1.39234353398823</v>
      </c>
      <c r="AT147" s="0" t="n">
        <v>1.98299105E-012</v>
      </c>
      <c r="AU147" s="3" t="n">
        <v>0.0586920318786724</v>
      </c>
      <c r="AV147" s="0" t="n">
        <v>0.336537200374868</v>
      </c>
      <c r="AW147" s="0" t="n">
        <v>0.000149045619757667</v>
      </c>
      <c r="AZ147" s="0" t="n">
        <v>0.356699583809933</v>
      </c>
      <c r="BA147" s="0" t="n">
        <v>0.337199583809933</v>
      </c>
      <c r="BC147" s="0" t="n">
        <v>0.172555039033197</v>
      </c>
      <c r="BD147" s="0" t="n">
        <v>0.153055039033197</v>
      </c>
      <c r="BE147" s="0" t="n">
        <v>0.0959756115273874</v>
      </c>
      <c r="BF147" s="3" t="n">
        <v>0.0583756115273874</v>
      </c>
      <c r="BG147" s="0" t="n">
        <v>0.0438346129019603</v>
      </c>
      <c r="BH147" s="0" t="n">
        <f aca="false">M147/BG147</f>
        <v>0.763265095836666</v>
      </c>
      <c r="BI147" s="0" t="n">
        <v>2.3123766723997E-007</v>
      </c>
      <c r="BJ147" s="0" t="n">
        <v>0.601558099711139</v>
      </c>
      <c r="BK147" s="0" t="n">
        <v>0</v>
      </c>
      <c r="BL147" s="0" t="n">
        <v>0</v>
      </c>
      <c r="BM147" s="0" t="n">
        <v>0</v>
      </c>
      <c r="BN147" s="0" t="e">
        <f aca="false">#REF!/#REF!</f>
        <v>#REF!</v>
      </c>
      <c r="BO147" s="20" t="n">
        <v>0.0516131840348</v>
      </c>
    </row>
    <row r="148" customFormat="false" ht="12.8" hidden="false" customHeight="false" outlineLevel="0" collapsed="false">
      <c r="A148" s="0" t="s">
        <v>200</v>
      </c>
      <c r="B148" s="0" t="s">
        <v>50</v>
      </c>
      <c r="C148" s="0" t="s">
        <v>51</v>
      </c>
      <c r="D148" s="0" t="s">
        <v>187</v>
      </c>
      <c r="E148" s="0" t="n">
        <v>0.45545</v>
      </c>
      <c r="F148" s="0" t="n">
        <v>4.17825</v>
      </c>
      <c r="G148" s="0" t="n">
        <v>1248</v>
      </c>
      <c r="H148" s="0" t="n">
        <v>1188</v>
      </c>
      <c r="I148" s="0" t="s">
        <v>53</v>
      </c>
      <c r="J148" s="0" t="n">
        <v>0.0435835905</v>
      </c>
      <c r="K148" s="0" t="n">
        <v>0.218121</v>
      </c>
      <c r="L148" s="0" t="n">
        <v>0.040601326718156</v>
      </c>
      <c r="M148" s="1" t="n">
        <v>0.0229097016019874</v>
      </c>
      <c r="N148" s="0" t="n">
        <v>0.250615962010688</v>
      </c>
      <c r="O148" s="0" t="n">
        <v>0.303180066966508</v>
      </c>
      <c r="P148" s="0" t="n">
        <v>0.253448746774861</v>
      </c>
      <c r="Q148" s="0" t="n">
        <v>0.238075214009827</v>
      </c>
      <c r="R148" s="19" t="n">
        <v>0.249425720355</v>
      </c>
      <c r="S148" s="19" t="n">
        <v>0.208824393636844</v>
      </c>
      <c r="T148" s="0" t="n">
        <v>7.75053002285E-005</v>
      </c>
      <c r="U148" s="19" t="n">
        <v>0.0001085489102285</v>
      </c>
      <c r="V148" s="19" t="n">
        <v>0.000126929735747</v>
      </c>
      <c r="X148" s="20"/>
      <c r="Y148" s="20"/>
      <c r="Z148" s="1"/>
      <c r="AA148" s="1"/>
      <c r="AB148" s="19"/>
      <c r="AJ148" s="0" t="n">
        <v>3.29867489550529</v>
      </c>
      <c r="AK148" s="0" t="n">
        <v>0.0001644738759115</v>
      </c>
      <c r="AL148" s="0" t="n">
        <f aca="false">AK148-0.00003104361</f>
        <v>0.0001334302659115</v>
      </c>
      <c r="AM148" s="0" t="n">
        <v>0.874597520954493</v>
      </c>
      <c r="AN148" s="0" t="n">
        <v>2.92206480437182E-050</v>
      </c>
      <c r="AO148" s="0" t="n">
        <v>7.7314310292E-005</v>
      </c>
      <c r="AP148" s="0" t="n">
        <v>3.01251678508202</v>
      </c>
      <c r="AQ148" s="0" t="n">
        <v>0.000157973345747</v>
      </c>
      <c r="AR148" s="0" t="n">
        <v>0.000126929735747</v>
      </c>
      <c r="AS148" s="0" t="n">
        <v>0.79050341721548</v>
      </c>
      <c r="AT148" s="0" t="n">
        <v>1.19367045510388E-044</v>
      </c>
      <c r="AU148" s="3" t="n">
        <v>0.093871613094663</v>
      </c>
      <c r="AV148" s="0" t="n">
        <v>0.00995927673445422</v>
      </c>
      <c r="AW148" s="0" t="n">
        <v>0.0001901891520605</v>
      </c>
      <c r="AZ148" s="0" t="n">
        <v>0.267736996294063</v>
      </c>
      <c r="BA148" s="0" t="n">
        <v>0.248936996294063</v>
      </c>
      <c r="BC148" s="0" t="n">
        <v>0.272248746774861</v>
      </c>
      <c r="BD148" s="0" t="n">
        <v>0.253448746774861</v>
      </c>
      <c r="BE148" s="0" t="n">
        <v>0.142510134326927</v>
      </c>
      <c r="BF148" s="3" t="n">
        <v>0.103510134326927</v>
      </c>
      <c r="BG148" s="0" t="n">
        <v>0.0350237050334698</v>
      </c>
      <c r="BH148" s="0" t="n">
        <f aca="false">M148/BG148</f>
        <v>0.654119876240796</v>
      </c>
      <c r="BI148" s="0" t="n">
        <v>3.57052888465046E-053</v>
      </c>
      <c r="BJ148" s="0" t="n">
        <v>0.523698606585897</v>
      </c>
      <c r="BK148" s="0" t="n">
        <v>0.360771844349084</v>
      </c>
      <c r="BL148" s="0" t="n">
        <v>0.412704921216539</v>
      </c>
      <c r="BM148" s="0" t="n">
        <v>0.393904921216539</v>
      </c>
      <c r="BN148" s="0" t="e">
        <f aca="false">#REF!/#REF!</f>
        <v>#REF!</v>
      </c>
      <c r="BO148" s="20" t="n">
        <v>0.22030559545</v>
      </c>
    </row>
    <row r="149" customFormat="false" ht="12.8" hidden="false" customHeight="false" outlineLevel="0" collapsed="false">
      <c r="A149" s="12" t="s">
        <v>201</v>
      </c>
      <c r="B149" s="0" t="s">
        <v>50</v>
      </c>
      <c r="C149" s="21" t="s">
        <v>59</v>
      </c>
      <c r="D149" s="0" t="s">
        <v>187</v>
      </c>
      <c r="E149" s="18" t="n">
        <v>0.0306425</v>
      </c>
      <c r="F149" s="18" t="n">
        <v>0.57525</v>
      </c>
      <c r="G149" s="0" t="n">
        <v>60</v>
      </c>
      <c r="H149" s="0" t="n">
        <v>35</v>
      </c>
      <c r="I149" s="0" t="s">
        <v>202</v>
      </c>
      <c r="J149" s="0" t="n">
        <v>0</v>
      </c>
      <c r="K149" s="18" t="n">
        <v>0.00989</v>
      </c>
      <c r="L149" s="18" t="n">
        <v>0.00175220862201304</v>
      </c>
      <c r="M149" s="1" t="n">
        <v>0.0394115851731853</v>
      </c>
      <c r="N149" s="0" t="n">
        <v>0.0435566546430219</v>
      </c>
      <c r="O149" s="0" t="n">
        <v>0.145359434410963</v>
      </c>
      <c r="P149" s="18" t="n">
        <v>0.122058405012785</v>
      </c>
      <c r="Q149" s="0" t="n">
        <v>0.0909024600468048</v>
      </c>
      <c r="R149" s="19" t="n">
        <v>0.009680045872</v>
      </c>
      <c r="S149" s="19" t="n">
        <v>0.00792783724998696</v>
      </c>
      <c r="T149" s="0" t="n">
        <v>6.18090239392667E-005</v>
      </c>
      <c r="U149" s="19" t="n">
        <v>8.96280507126E-005</v>
      </c>
      <c r="V149" s="19" t="n">
        <v>0.000111315123152167</v>
      </c>
      <c r="X149" s="20"/>
      <c r="Y149" s="20"/>
      <c r="Z149" s="1"/>
      <c r="AA149" s="1"/>
      <c r="AB149" s="19"/>
      <c r="AJ149" s="0" t="n">
        <v>100</v>
      </c>
      <c r="AK149" s="0" t="n">
        <v>0</v>
      </c>
      <c r="AL149" s="0" t="n">
        <f aca="false">AK149-0.0000278190267733333</f>
        <v>-2.78190267733333E-005</v>
      </c>
      <c r="AM149" s="0" t="n">
        <v>100</v>
      </c>
      <c r="AN149" s="0" t="n">
        <v>0</v>
      </c>
      <c r="AO149" s="0" t="n">
        <v>6.18090239392667E-005</v>
      </c>
      <c r="AP149" s="0" t="n">
        <v>-0.619758553721932</v>
      </c>
      <c r="AQ149" s="0" t="n">
        <v>0.0001391341499255</v>
      </c>
      <c r="AR149" s="0" t="n">
        <v>0.000111315123152167</v>
      </c>
      <c r="AS149" s="0" t="n">
        <v>100</v>
      </c>
      <c r="AT149" s="0" t="n">
        <v>0.666666666666667</v>
      </c>
      <c r="AU149" s="3" t="n">
        <v>0.0269732472613029</v>
      </c>
      <c r="AV149" s="0" t="n">
        <v>0.411699361876017</v>
      </c>
      <c r="AW149" s="0" t="n">
        <v>-2.78190267733333E-005</v>
      </c>
      <c r="AZ149" s="0" t="n">
        <v>0.0487792729101951</v>
      </c>
      <c r="BA149" s="0" t="n">
        <v>0.0299792729101951</v>
      </c>
      <c r="BC149" s="0" t="n">
        <v>0.140858405012785</v>
      </c>
      <c r="BD149" s="0" t="n">
        <v>0.122058405012785</v>
      </c>
      <c r="BE149" s="0" t="n">
        <v>0.0626193156452758</v>
      </c>
      <c r="BF149" s="3" t="n">
        <v>0.0250193156452758</v>
      </c>
      <c r="BG149" s="0" t="n">
        <v>-0.0376</v>
      </c>
      <c r="BH149" s="0" t="n">
        <f aca="false">M149/BG149</f>
        <v>-1.04818045673365</v>
      </c>
      <c r="BI149" s="0" t="n">
        <v>100</v>
      </c>
      <c r="BJ149" s="0" t="n">
        <v>0.614336563784988</v>
      </c>
      <c r="BK149" s="0" t="n">
        <v>0</v>
      </c>
      <c r="BL149" s="0" t="n">
        <v>0</v>
      </c>
      <c r="BM149" s="0" t="n">
        <v>0</v>
      </c>
      <c r="BN149" s="0" t="e">
        <f aca="false">#REF!/#REF!</f>
        <v>#REF!</v>
      </c>
      <c r="BO149" s="20" t="n">
        <v>0.0059496739832</v>
      </c>
    </row>
    <row r="150" customFormat="false" ht="12.8" hidden="false" customHeight="false" outlineLevel="0" collapsed="false">
      <c r="A150" s="0" t="s">
        <v>203</v>
      </c>
      <c r="B150" s="0" t="s">
        <v>50</v>
      </c>
      <c r="C150" s="0" t="s">
        <v>59</v>
      </c>
      <c r="D150" s="0" t="s">
        <v>187</v>
      </c>
      <c r="E150" s="0" t="n">
        <v>0.138</v>
      </c>
      <c r="F150" s="0" t="n">
        <v>1.67075</v>
      </c>
      <c r="G150" s="0" t="n">
        <v>348</v>
      </c>
      <c r="H150" s="0" t="n">
        <v>310</v>
      </c>
      <c r="I150" s="0" t="s">
        <v>55</v>
      </c>
      <c r="J150" s="0" t="n">
        <v>0</v>
      </c>
      <c r="K150" s="0" t="n">
        <v>0.1611516</v>
      </c>
      <c r="L150" s="0" t="n">
        <v>0.0101613223238951</v>
      </c>
      <c r="M150" s="1" t="n">
        <v>0.0260120431070851</v>
      </c>
      <c r="N150" s="0" t="n">
        <v>0.225629111285898</v>
      </c>
      <c r="O150" s="0" t="n">
        <v>0.212297080794736</v>
      </c>
      <c r="P150" s="0" t="n">
        <v>0.140208510479145</v>
      </c>
      <c r="Q150" s="0" t="n">
        <v>0.343569071691148</v>
      </c>
      <c r="R150" s="19" t="n">
        <v>0.0693857374516</v>
      </c>
      <c r="S150" s="19" t="n">
        <v>0.0592244151277049</v>
      </c>
      <c r="T150" s="0" t="n">
        <v>5.89522708405667E-005</v>
      </c>
      <c r="U150" s="19" t="n">
        <v>8.67712976139E-005</v>
      </c>
      <c r="V150" s="19" t="n">
        <v>0.000138226184648667</v>
      </c>
      <c r="X150" s="20"/>
      <c r="Y150" s="20"/>
      <c r="Z150" s="1"/>
      <c r="AA150" s="1"/>
      <c r="AB150" s="19"/>
      <c r="AJ150" s="0" t="n">
        <v>1.94276229849302</v>
      </c>
      <c r="AK150" s="0" t="n">
        <v>0.0001679100384825</v>
      </c>
      <c r="AL150" s="0" t="n">
        <f aca="false">AK150-0.0000278190267733333</f>
        <v>0.000140091011709167</v>
      </c>
      <c r="AM150" s="0" t="n">
        <v>0.631854366673937</v>
      </c>
      <c r="AN150" s="0" t="n">
        <v>9.97397591704959E-017</v>
      </c>
      <c r="AO150" s="0" t="n">
        <v>5.89522708405667E-005</v>
      </c>
      <c r="AP150" s="0" t="n">
        <v>1.94276229849302</v>
      </c>
      <c r="AQ150" s="0" t="n">
        <v>0.000166045211422</v>
      </c>
      <c r="AR150" s="0" t="n">
        <v>0.000138226184648667</v>
      </c>
      <c r="AS150" s="0" t="n">
        <v>0.650776592236883</v>
      </c>
      <c r="AT150" s="0" t="n">
        <v>2.53971984501128E-016</v>
      </c>
      <c r="AU150" s="3" t="n">
        <v>0.066886627171078</v>
      </c>
      <c r="AV150" s="0" t="n">
        <v>0.192720919963743</v>
      </c>
      <c r="AW150" s="0" t="n">
        <v>0.000105882363644667</v>
      </c>
      <c r="AZ150" s="0" t="n">
        <v>0.0909448065602744</v>
      </c>
      <c r="BA150" s="0" t="n">
        <v>0.0714448065602744</v>
      </c>
      <c r="BC150" s="0" t="n">
        <v>0.159708510479145</v>
      </c>
      <c r="BD150" s="0" t="n">
        <v>0.140208510479145</v>
      </c>
      <c r="BE150" s="0" t="n">
        <v>0.108653529070388</v>
      </c>
      <c r="BF150" s="3" t="n">
        <v>0.071053529070388</v>
      </c>
      <c r="BG150" s="0" t="n">
        <v>0.0381984519707755</v>
      </c>
      <c r="BH150" s="0" t="n">
        <f aca="false">M150/BG150</f>
        <v>0.680971132730356</v>
      </c>
      <c r="BI150" s="0" t="n">
        <v>8.9327054E-013</v>
      </c>
      <c r="BJ150" s="0" t="n">
        <v>0.702394025555067</v>
      </c>
      <c r="BK150" s="0" t="n">
        <v>0</v>
      </c>
      <c r="BL150" s="0" t="n">
        <v>0</v>
      </c>
      <c r="BM150" s="0" t="n">
        <v>0</v>
      </c>
      <c r="BN150" s="0" t="e">
        <f aca="false">#REF!/#REF!</f>
        <v>#REF!</v>
      </c>
      <c r="BO150" s="20" t="n">
        <v>0.0666853334856</v>
      </c>
    </row>
    <row r="151" customFormat="false" ht="12.8" hidden="false" customHeight="false" outlineLevel="0" collapsed="false">
      <c r="A151" s="0" t="s">
        <v>204</v>
      </c>
      <c r="B151" s="0" t="s">
        <v>50</v>
      </c>
      <c r="C151" s="0" t="s">
        <v>51</v>
      </c>
      <c r="D151" s="0" t="s">
        <v>187</v>
      </c>
      <c r="E151" s="0" t="n">
        <v>0.4824</v>
      </c>
      <c r="F151" s="0" t="n">
        <v>3.9115</v>
      </c>
      <c r="G151" s="0" t="n">
        <v>1282</v>
      </c>
      <c r="H151" s="0" t="n">
        <v>1216</v>
      </c>
      <c r="I151" s="0" t="s">
        <v>53</v>
      </c>
      <c r="J151" s="0" t="n">
        <v>0.0603113976</v>
      </c>
      <c r="K151" s="0" t="n">
        <v>0.313133</v>
      </c>
      <c r="L151" s="0" t="n">
        <v>0.0417133647944869</v>
      </c>
      <c r="M151" s="1" t="n">
        <v>0.0198667402650851</v>
      </c>
      <c r="N151" s="0" t="n">
        <v>0.25511452431376</v>
      </c>
      <c r="O151" s="0" t="n">
        <v>0.295155152048877</v>
      </c>
      <c r="P151" s="0" t="n">
        <v>0.236823801182454</v>
      </c>
      <c r="Q151" s="0" t="n">
        <v>0.298875446020003</v>
      </c>
      <c r="R151" s="19" t="n">
        <v>0.29435536828</v>
      </c>
      <c r="S151" s="19" t="n">
        <v>0.252642003485513</v>
      </c>
      <c r="T151" s="0" t="n">
        <v>6.171877557975E-005</v>
      </c>
      <c r="U151" s="19" t="n">
        <v>9.276238557975E-005</v>
      </c>
      <c r="V151" s="19" t="n">
        <v>0.00014206263488</v>
      </c>
      <c r="Z151" s="1"/>
      <c r="AA151" s="1"/>
      <c r="AB151" s="19"/>
      <c r="AJ151" s="0" t="n">
        <v>4.11262316510296</v>
      </c>
      <c r="AK151" s="0" t="n">
        <v>0.000175163011949</v>
      </c>
      <c r="AL151" s="0" t="n">
        <f aca="false">AK151-0.00003104361</f>
        <v>0.000144119401949</v>
      </c>
      <c r="AM151" s="0" t="n">
        <v>0.763266466394776</v>
      </c>
      <c r="AN151" s="0" t="n">
        <v>3.62354689110047E-097</v>
      </c>
      <c r="AO151" s="0" t="n">
        <v>6.16312392979E-005</v>
      </c>
      <c r="AP151" s="0" t="n">
        <v>4.20927889799617</v>
      </c>
      <c r="AQ151" s="0" t="n">
        <v>0.00017310624488</v>
      </c>
      <c r="AR151" s="0" t="n">
        <v>0.00014206263488</v>
      </c>
      <c r="AS151" s="0" t="n">
        <v>0.811746433663565</v>
      </c>
      <c r="AT151" s="0" t="n">
        <v>5.53697978360141E-096</v>
      </c>
      <c r="AU151" s="3" t="n">
        <v>0.10414283473416</v>
      </c>
      <c r="AV151" s="0" t="n">
        <v>0.195549569146994</v>
      </c>
      <c r="AW151" s="0" t="n">
        <v>0.000142432093292</v>
      </c>
      <c r="AZ151" s="0" t="n">
        <v>0.394296603926838</v>
      </c>
      <c r="BA151" s="0" t="n">
        <v>0.374796603926838</v>
      </c>
      <c r="BC151" s="0" t="n">
        <v>0.256323801182454</v>
      </c>
      <c r="BD151" s="0" t="n">
        <v>0.236823801182454</v>
      </c>
      <c r="BE151" s="0" t="n">
        <v>0.14287863900309</v>
      </c>
      <c r="BF151" s="3" t="n">
        <v>0.10387863900309</v>
      </c>
      <c r="BG151" s="0" t="n">
        <v>0.0384089519105358</v>
      </c>
      <c r="BH151" s="0" t="n">
        <f aca="false">M151/BG151</f>
        <v>0.517242446796252</v>
      </c>
      <c r="BI151" s="0" t="n">
        <v>1.22253152075546E-103</v>
      </c>
      <c r="BJ151" s="0" t="n">
        <v>0.564635779113271</v>
      </c>
      <c r="BK151" s="0" t="n">
        <v>0.124891430642379</v>
      </c>
      <c r="BL151" s="0" t="n">
        <v>0.160302797359698</v>
      </c>
      <c r="BM151" s="0" t="n">
        <v>0.140802797359698</v>
      </c>
      <c r="BN151" s="0" t="e">
        <f aca="false">#REF!/#REF!</f>
        <v>#REF!</v>
      </c>
      <c r="BO151" s="20" t="n">
        <v>0.273120813225</v>
      </c>
    </row>
    <row r="152" customFormat="false" ht="12.8" hidden="false" customHeight="false" outlineLevel="0" collapsed="false">
      <c r="A152" s="0" t="s">
        <v>205</v>
      </c>
      <c r="B152" s="0" t="s">
        <v>50</v>
      </c>
      <c r="C152" s="0" t="s">
        <v>51</v>
      </c>
      <c r="D152" s="0" t="s">
        <v>187</v>
      </c>
      <c r="E152" s="0" t="n">
        <v>0.172425</v>
      </c>
      <c r="F152" s="0" t="n">
        <v>1.849</v>
      </c>
      <c r="G152" s="0" t="n">
        <v>132</v>
      </c>
      <c r="H152" s="0" t="n">
        <v>98</v>
      </c>
      <c r="I152" s="0" t="s">
        <v>53</v>
      </c>
      <c r="J152" s="0" t="n">
        <v>0.0400072224</v>
      </c>
      <c r="K152" s="0" t="n">
        <v>0.062054</v>
      </c>
      <c r="L152" s="0" t="n">
        <v>0.00426458962573824</v>
      </c>
      <c r="M152" s="1" t="n">
        <v>0.0362836056002577</v>
      </c>
      <c r="N152" s="0" t="n">
        <v>0.218499429017585</v>
      </c>
      <c r="O152" s="0" t="n">
        <v>0.172803939613201</v>
      </c>
      <c r="P152" s="0" t="n">
        <v>0.115757834043559</v>
      </c>
      <c r="Q152" s="0" t="n">
        <v>0.237317042359244</v>
      </c>
      <c r="R152" s="19" t="n">
        <v>0.040503983814</v>
      </c>
      <c r="S152" s="19" t="n">
        <v>0.0362393941882618</v>
      </c>
      <c r="T152" s="0" t="n">
        <v>8.1607628438E-005</v>
      </c>
      <c r="U152" s="19" t="n">
        <v>0.000112651238438</v>
      </c>
      <c r="V152" s="19" t="n">
        <v>0.000202163869528</v>
      </c>
      <c r="Z152" s="1"/>
      <c r="AA152" s="1"/>
      <c r="AB152" s="19"/>
      <c r="AJ152" s="0" t="n">
        <v>1.12529630678621</v>
      </c>
      <c r="AK152" s="0" t="n">
        <v>0.000233207479528</v>
      </c>
      <c r="AL152" s="0" t="n">
        <f aca="false">AK152-0.00003104361</f>
        <v>0.000202163869528</v>
      </c>
      <c r="AM152" s="0" t="n">
        <v>0.573077213844847</v>
      </c>
      <c r="AN152" s="0" t="n">
        <v>1.1507495272356E-006</v>
      </c>
      <c r="AO152" s="0" t="n">
        <v>8.1607628438E-005</v>
      </c>
      <c r="AP152" s="0" t="n">
        <v>1.12529630678621</v>
      </c>
      <c r="AQ152" s="0" t="n">
        <v>0.000233207479528</v>
      </c>
      <c r="AR152" s="0" t="n">
        <v>0.000202163869528</v>
      </c>
      <c r="AS152" s="0" t="n">
        <v>0.573077213844847</v>
      </c>
      <c r="AT152" s="0" t="n">
        <v>2.30149905447121E-006</v>
      </c>
      <c r="AU152" s="3" t="n">
        <v>0.0527071869876531</v>
      </c>
      <c r="AV152" s="0" t="n">
        <v>0.00762228976612433</v>
      </c>
      <c r="AW152" s="0" t="n">
        <v>0.000131129962571</v>
      </c>
      <c r="AZ152" s="0" t="n">
        <v>0.241453197976405</v>
      </c>
      <c r="BA152" s="0" t="n">
        <v>0.221953197976405</v>
      </c>
      <c r="BC152" s="0" t="n">
        <v>0.135257834043559</v>
      </c>
      <c r="BD152" s="0" t="n">
        <v>0.115757834043559</v>
      </c>
      <c r="BE152" s="0" t="n">
        <v>0.079781611215788</v>
      </c>
      <c r="BF152" s="3" t="n">
        <v>0.040781611215788</v>
      </c>
      <c r="BG152" s="0" t="n">
        <v>0.0535399111223845</v>
      </c>
      <c r="BH152" s="0" t="n">
        <f aca="false">M152/BG152</f>
        <v>0.677692675232849</v>
      </c>
      <c r="BI152" s="0" t="n">
        <v>1.7247553918201E-006</v>
      </c>
      <c r="BJ152" s="0" t="n">
        <v>0.614930551553992</v>
      </c>
      <c r="BK152" s="0" t="n">
        <v>0.0874617425300833</v>
      </c>
      <c r="BL152" s="0" t="n">
        <v>0.108428002352608</v>
      </c>
      <c r="BM152" s="0" t="n">
        <v>0.088928002352608</v>
      </c>
      <c r="BN152" s="0" t="e">
        <f aca="false">#REF!/#REF!</f>
        <v>#REF!</v>
      </c>
      <c r="BO152" s="20" t="n">
        <v>0.036042094337</v>
      </c>
    </row>
    <row r="153" customFormat="false" ht="12.8" hidden="false" customHeight="false" outlineLevel="0" collapsed="false">
      <c r="A153" s="0" t="s">
        <v>206</v>
      </c>
      <c r="B153" s="0" t="s">
        <v>50</v>
      </c>
      <c r="C153" s="0" t="s">
        <v>51</v>
      </c>
      <c r="D153" s="0" t="s">
        <v>187</v>
      </c>
      <c r="E153" s="0" t="n">
        <v>0.3033</v>
      </c>
      <c r="F153" s="0" t="n">
        <v>2.6495</v>
      </c>
      <c r="G153" s="0" t="n">
        <v>606</v>
      </c>
      <c r="H153" s="0" t="n">
        <v>552</v>
      </c>
      <c r="I153" s="0" t="s">
        <v>53</v>
      </c>
      <c r="J153" s="0" t="n">
        <v>0.041761484</v>
      </c>
      <c r="K153" s="0" t="n">
        <v>0.194617</v>
      </c>
      <c r="L153" s="0" t="n">
        <v>0.0197186857223427</v>
      </c>
      <c r="M153" s="1" t="n">
        <v>0.0279844334066072</v>
      </c>
      <c r="N153" s="0" t="n">
        <v>0.268566883873544</v>
      </c>
      <c r="O153" s="0" t="n">
        <v>0.270579710401621</v>
      </c>
      <c r="P153" s="0" t="n">
        <v>0.233948325449125</v>
      </c>
      <c r="Q153" s="0" t="n">
        <v>0.272074576650515</v>
      </c>
      <c r="R153" s="19" t="n">
        <v>0.143931807925</v>
      </c>
      <c r="S153" s="19" t="n">
        <v>0.124213122202657</v>
      </c>
      <c r="T153" s="0" t="n">
        <v>9.1199526476E-005</v>
      </c>
      <c r="U153" s="19" t="n">
        <v>0.000122243136476</v>
      </c>
      <c r="V153" s="19" t="n">
        <v>0.000150486142547</v>
      </c>
      <c r="Z153" s="1"/>
      <c r="AA153" s="1"/>
      <c r="AB153" s="19"/>
      <c r="AJ153" s="0" t="n">
        <v>2.96852441549281</v>
      </c>
      <c r="AK153" s="0" t="n">
        <v>0.000181529752547</v>
      </c>
      <c r="AL153" s="0" t="n">
        <f aca="false">AK153-0.00003104361</f>
        <v>0.000150486142547</v>
      </c>
      <c r="AM153" s="0" t="n">
        <v>0.981565954800752</v>
      </c>
      <c r="AN153" s="0" t="n">
        <v>1.32244087487427E-022</v>
      </c>
      <c r="AO153" s="0" t="n">
        <v>9.1199526476E-005</v>
      </c>
      <c r="AP153" s="0" t="n">
        <v>2.96852441549281</v>
      </c>
      <c r="AQ153" s="0" t="n">
        <v>0.000181529752547</v>
      </c>
      <c r="AR153" s="0" t="n">
        <v>0.000150486142547</v>
      </c>
      <c r="AS153" s="0" t="n">
        <v>0.981565954800752</v>
      </c>
      <c r="AT153" s="0" t="n">
        <v>2.64488174974853E-022</v>
      </c>
      <c r="AU153" s="3" t="n">
        <v>0.079832858484688</v>
      </c>
      <c r="AV153" s="0" t="n">
        <v>0.0484859510484033</v>
      </c>
      <c r="AW153" s="0" t="n">
        <v>0.000164776152158</v>
      </c>
      <c r="AZ153" s="0" t="n">
        <v>0.289434741584713</v>
      </c>
      <c r="BA153" s="0" t="n">
        <v>0.269934741584713</v>
      </c>
      <c r="BC153" s="0" t="n">
        <v>0.253448325449125</v>
      </c>
      <c r="BD153" s="0" t="n">
        <v>0.233948325449125</v>
      </c>
      <c r="BE153" s="0" t="n">
        <v>0.125404869999254</v>
      </c>
      <c r="BF153" s="3" t="n">
        <v>0.086404869999254</v>
      </c>
      <c r="BG153" s="0" t="n">
        <v>0.0402648277332751</v>
      </c>
      <c r="BH153" s="0" t="n">
        <f aca="false">M153/BG153</f>
        <v>0.695009391123774</v>
      </c>
      <c r="BI153" s="0" t="n">
        <v>2.77938007218849E-019</v>
      </c>
      <c r="BJ153" s="0" t="n">
        <v>0.509899085158315</v>
      </c>
      <c r="BK153" s="0" t="n">
        <v>0.118956842384565</v>
      </c>
      <c r="BL153" s="0" t="n">
        <v>0.142045607501907</v>
      </c>
      <c r="BM153" s="0" t="n">
        <v>0.122545607501907</v>
      </c>
      <c r="BN153" s="0" t="e">
        <f aca="false">#REF!/#REF!</f>
        <v>#REF!</v>
      </c>
      <c r="BO153" s="20" t="n">
        <v>0.1301733615</v>
      </c>
    </row>
    <row r="154" customFormat="false" ht="12.8" hidden="false" customHeight="false" outlineLevel="0" collapsed="false">
      <c r="A154" s="0" t="s">
        <v>207</v>
      </c>
      <c r="B154" s="0" t="s">
        <v>50</v>
      </c>
      <c r="C154" s="21" t="s">
        <v>51</v>
      </c>
      <c r="D154" s="0" t="s">
        <v>187</v>
      </c>
      <c r="E154" s="0" t="n">
        <v>0.243125</v>
      </c>
      <c r="F154" s="0" t="n">
        <v>2.29225</v>
      </c>
      <c r="G154" s="0" t="n">
        <v>416</v>
      </c>
      <c r="H154" s="0" t="n">
        <v>366</v>
      </c>
      <c r="I154" s="0" t="s">
        <v>53</v>
      </c>
      <c r="J154" s="0" t="n">
        <v>0.0254169087</v>
      </c>
      <c r="K154" s="0" t="n">
        <v>0.062153</v>
      </c>
      <c r="L154" s="0" t="n">
        <v>0.0135350048101328</v>
      </c>
      <c r="M154" s="1" t="n">
        <v>0.0329152353454884</v>
      </c>
      <c r="N154" s="0" t="n">
        <v>0.222766757633066</v>
      </c>
      <c r="O154" s="0" t="n">
        <v>0.22149478057271</v>
      </c>
      <c r="P154" s="0" t="n">
        <v>0.18520598617063</v>
      </c>
      <c r="Q154" s="0" t="n">
        <v>0.247564605041625</v>
      </c>
      <c r="R154" s="19" t="n">
        <v>0.112150643325</v>
      </c>
      <c r="S154" s="19" t="n">
        <v>0.0986156385148672</v>
      </c>
      <c r="T154" s="0" t="n">
        <v>0.000106356190186</v>
      </c>
      <c r="U154" s="19" t="n">
        <v>0.000137399800186</v>
      </c>
      <c r="V154" s="19" t="n">
        <v>0.000160622390053</v>
      </c>
      <c r="Z154" s="1"/>
      <c r="AA154" s="1"/>
      <c r="AB154" s="19"/>
      <c r="AJ154" s="0" t="n">
        <v>1.99373831898772</v>
      </c>
      <c r="AK154" s="0" t="n">
        <v>0.000191666000053</v>
      </c>
      <c r="AL154" s="0" t="n">
        <f aca="false">AK154-0.00003104361</f>
        <v>0.000160622390053</v>
      </c>
      <c r="AM154" s="0" t="n">
        <v>1.02416830897583</v>
      </c>
      <c r="AN154" s="0" t="n">
        <v>2.023734296E-011</v>
      </c>
      <c r="AO154" s="0" t="n">
        <v>0.000106356190186</v>
      </c>
      <c r="AP154" s="0" t="n">
        <v>1.99373831898772</v>
      </c>
      <c r="AQ154" s="0" t="n">
        <v>0.000191666000053</v>
      </c>
      <c r="AR154" s="0" t="n">
        <v>0.000160622390053</v>
      </c>
      <c r="AS154" s="0" t="n">
        <v>1.02416830897583</v>
      </c>
      <c r="AT154" s="0" t="n">
        <v>4.047468592E-011</v>
      </c>
      <c r="AU154" s="3" t="n">
        <v>0.0594698787044341</v>
      </c>
      <c r="AV154" s="0" t="n">
        <v>0.00839298724135537</v>
      </c>
      <c r="AW154" s="0" t="n">
        <v>0.000176230353048</v>
      </c>
      <c r="AZ154" s="0" t="n">
        <v>0.243158674529255</v>
      </c>
      <c r="BA154" s="0" t="n">
        <v>0.224358674529255</v>
      </c>
      <c r="BC154" s="0" t="n">
        <v>0.20400598617063</v>
      </c>
      <c r="BD154" s="0" t="n">
        <v>0.18520598617063</v>
      </c>
      <c r="BE154" s="0" t="n">
        <v>0.106409612082797</v>
      </c>
      <c r="BF154" s="3" t="n">
        <v>0.067409612082797</v>
      </c>
      <c r="BG154" s="0" t="n">
        <v>0.0436586732437458</v>
      </c>
      <c r="BH154" s="0" t="n">
        <f aca="false">M154/BG154</f>
        <v>0.753922025108804</v>
      </c>
      <c r="BI154" s="0" t="n">
        <v>3.4618898177E-010</v>
      </c>
      <c r="BJ154" s="0" t="n">
        <v>0.517864401245626</v>
      </c>
      <c r="BK154" s="0" t="n">
        <v>0.10393865769459</v>
      </c>
      <c r="BL154" s="0" t="n">
        <v>0.166423139791142</v>
      </c>
      <c r="BM154" s="0" t="n">
        <v>0.147623139791142</v>
      </c>
      <c r="BN154" s="0" t="e">
        <f aca="false">#REF!/#REF!</f>
        <v>#REF!</v>
      </c>
      <c r="BO154" s="20" t="n">
        <v>0.100061681525</v>
      </c>
    </row>
    <row r="155" customFormat="false" ht="12.8" hidden="false" customHeight="false" outlineLevel="0" collapsed="false">
      <c r="A155" s="0" t="s">
        <v>208</v>
      </c>
      <c r="B155" s="0" t="s">
        <v>50</v>
      </c>
      <c r="C155" s="0" t="s">
        <v>59</v>
      </c>
      <c r="D155" s="0" t="s">
        <v>187</v>
      </c>
      <c r="E155" s="0" t="n">
        <v>0.0854525</v>
      </c>
      <c r="F155" s="0" t="n">
        <v>1.204</v>
      </c>
      <c r="G155" s="0" t="n">
        <v>283</v>
      </c>
      <c r="H155" s="0" t="n">
        <v>242</v>
      </c>
      <c r="I155" s="0" t="s">
        <v>53</v>
      </c>
      <c r="J155" s="0" t="n">
        <v>0</v>
      </c>
      <c r="K155" s="0" t="n">
        <v>0.0881058</v>
      </c>
      <c r="L155" s="0" t="n">
        <v>0.00826251269127661</v>
      </c>
      <c r="M155" s="1" t="n">
        <v>0.0223897285964277</v>
      </c>
      <c r="N155" s="0" t="n">
        <v>0.265995434829416</v>
      </c>
      <c r="O155" s="0" t="n">
        <v>0.186642368135139</v>
      </c>
      <c r="P155" s="0" t="n">
        <v>0.138663554314636</v>
      </c>
      <c r="Q155" s="0" t="n">
        <v>0.259692149706453</v>
      </c>
      <c r="R155" s="19" t="n">
        <v>0.0423843242136</v>
      </c>
      <c r="S155" s="19" t="n">
        <v>0.0341218115223234</v>
      </c>
      <c r="T155" s="0" t="n">
        <v>6.03366559365667E-005</v>
      </c>
      <c r="U155" s="19" t="n">
        <v>8.81556827099E-005</v>
      </c>
      <c r="V155" s="19" t="n">
        <v>7.83356909226667E-005</v>
      </c>
      <c r="Z155" s="1"/>
      <c r="AA155" s="1"/>
      <c r="AB155" s="19"/>
      <c r="AJ155" s="0" t="n">
        <v>0.634053026064253</v>
      </c>
      <c r="AK155" s="0" t="n">
        <v>0.000106154717696</v>
      </c>
      <c r="AL155" s="0" t="n">
        <f aca="false">AK155-0.0000278190267733333</f>
        <v>7.83356909226667E-005</v>
      </c>
      <c r="AM155" s="0" t="n">
        <v>0.949458926988553</v>
      </c>
      <c r="AN155" s="0" t="n">
        <v>0.0036845571113806</v>
      </c>
      <c r="AO155" s="0" t="n">
        <v>6.03366559365667E-005</v>
      </c>
      <c r="AP155" s="0" t="n">
        <v>0.634053026064253</v>
      </c>
      <c r="AQ155" s="0" t="n">
        <v>0.000106154717696</v>
      </c>
      <c r="AR155" s="0" t="n">
        <v>7.83356909226667E-005</v>
      </c>
      <c r="AS155" s="0" t="n">
        <v>0.949458926988553</v>
      </c>
      <c r="AT155" s="0" t="n">
        <v>0.0073691142227612</v>
      </c>
      <c r="AU155" s="3" t="n">
        <v>0.0419722848907264</v>
      </c>
      <c r="AV155" s="0" t="n">
        <v>0.0567800183632437</v>
      </c>
      <c r="AW155" s="0" t="n">
        <v>0.000192362736724667</v>
      </c>
      <c r="AZ155" s="0" t="n">
        <v>0.312574432010124</v>
      </c>
      <c r="BA155" s="0" t="n">
        <v>0.293074432010124</v>
      </c>
      <c r="BC155" s="0" t="n">
        <v>0.158163554314636</v>
      </c>
      <c r="BD155" s="0" t="n">
        <v>0.138663554314636</v>
      </c>
      <c r="BE155" s="0" t="n">
        <v>0.0877693983003491</v>
      </c>
      <c r="BF155" s="3" t="n">
        <v>0.0501693983003491</v>
      </c>
      <c r="BG155" s="0" t="n">
        <v>0.0301398821705295</v>
      </c>
      <c r="BH155" s="0" t="n">
        <f aca="false">M155/BG155</f>
        <v>0.742860521807885</v>
      </c>
      <c r="BI155" s="0" t="n">
        <v>0.000368664274693587</v>
      </c>
      <c r="BJ155" s="0" t="n">
        <v>0.56015342807716</v>
      </c>
      <c r="BK155" s="0" t="n">
        <v>0</v>
      </c>
      <c r="BL155" s="0" t="n">
        <v>0</v>
      </c>
      <c r="BM155" s="0" t="n">
        <v>0</v>
      </c>
      <c r="BN155" s="0" t="e">
        <f aca="false">#REF!/#REF!</f>
        <v>#REF!</v>
      </c>
      <c r="BO155" s="20" t="n">
        <v>0.0359241117928</v>
      </c>
    </row>
    <row r="156" customFormat="false" ht="12.8" hidden="false" customHeight="false" outlineLevel="0" collapsed="false">
      <c r="A156" s="0" t="s">
        <v>209</v>
      </c>
      <c r="B156" s="0" t="s">
        <v>50</v>
      </c>
      <c r="C156" s="21" t="s">
        <v>51</v>
      </c>
      <c r="D156" s="0" t="s">
        <v>187</v>
      </c>
      <c r="E156" s="0" t="n">
        <v>0.13675</v>
      </c>
      <c r="F156" s="0" t="n">
        <v>1.75225</v>
      </c>
      <c r="G156" s="0" t="n">
        <v>241</v>
      </c>
      <c r="H156" s="0" t="n">
        <v>206</v>
      </c>
      <c r="I156" s="0" t="s">
        <v>53</v>
      </c>
      <c r="J156" s="0" t="n">
        <v>0.0271240082</v>
      </c>
      <c r="K156" s="0" t="n">
        <v>0.080656</v>
      </c>
      <c r="L156" s="0" t="n">
        <v>0.00783842312080636</v>
      </c>
      <c r="M156" s="1" t="n">
        <v>0.0269029370556895</v>
      </c>
      <c r="N156" s="0" t="n">
        <v>0.1305090591472</v>
      </c>
      <c r="O156" s="0" t="n">
        <v>0.240541634176617</v>
      </c>
      <c r="P156" s="0" t="n">
        <v>0.191315866085094</v>
      </c>
      <c r="Q156" s="0" t="n">
        <v>0.152442692247131</v>
      </c>
      <c r="R156" s="19" t="n">
        <v>0.0576268791645</v>
      </c>
      <c r="S156" s="19" t="n">
        <v>0.0497884560436936</v>
      </c>
      <c r="T156" s="0" t="n">
        <v>6.8405231488E-005</v>
      </c>
      <c r="U156" s="19" t="n">
        <v>9.9448841488E-005</v>
      </c>
      <c r="V156" s="19" t="n">
        <v>0.000129245143752</v>
      </c>
      <c r="Z156" s="1"/>
      <c r="AA156" s="1"/>
      <c r="AB156" s="19"/>
      <c r="AJ156" s="0" t="n">
        <v>1.54992441329152</v>
      </c>
      <c r="AK156" s="0" t="n">
        <v>0.000160288753752</v>
      </c>
      <c r="AL156" s="0" t="n">
        <f aca="false">AK156-0.00003104361</f>
        <v>0.000129245143752</v>
      </c>
      <c r="AM156" s="0" t="n">
        <v>0.445028972560551</v>
      </c>
      <c r="AN156" s="0" t="n">
        <v>5.68134223412508E-006</v>
      </c>
      <c r="AO156" s="0" t="n">
        <v>6.8405231488E-005</v>
      </c>
      <c r="AP156" s="0" t="n">
        <v>1.54992441329152</v>
      </c>
      <c r="AQ156" s="0" t="n">
        <v>0.000160288753752</v>
      </c>
      <c r="AR156" s="0" t="n">
        <v>0.000129245143752</v>
      </c>
      <c r="AS156" s="0" t="n">
        <v>0.445028972560551</v>
      </c>
      <c r="AT156" s="0" t="n">
        <v>1.13626844682502E-005</v>
      </c>
      <c r="AU156" s="3" t="n">
        <v>0.066166897430837</v>
      </c>
      <c r="AV156" s="0" t="n">
        <v>0.177563731085779</v>
      </c>
      <c r="AW156" s="0" t="n">
        <v>0.0001321165308055</v>
      </c>
      <c r="AZ156" s="0" t="n">
        <v>0.149733451899705</v>
      </c>
      <c r="BA156" s="0" t="n">
        <v>0.130933451899705</v>
      </c>
      <c r="BC156" s="0" t="n">
        <v>0.210115866085094</v>
      </c>
      <c r="BD156" s="0" t="n">
        <v>0.191315866085094</v>
      </c>
      <c r="BE156" s="0" t="n">
        <v>0.0960600335665776</v>
      </c>
      <c r="BF156" s="3" t="n">
        <v>0.0570600335665776</v>
      </c>
      <c r="BG156" s="0" t="n">
        <v>0.0460805075607799</v>
      </c>
      <c r="BH156" s="0" t="n">
        <f aca="false">M156/BG156</f>
        <v>0.583824668602113</v>
      </c>
      <c r="BI156" s="0" t="n">
        <v>1.53356327E-012</v>
      </c>
      <c r="BJ156" s="0" t="n">
        <v>0.495697224466561</v>
      </c>
      <c r="BK156" s="0" t="n">
        <v>0.0876423053391326</v>
      </c>
      <c r="BL156" s="0" t="n">
        <v>0.103414661853416</v>
      </c>
      <c r="BM156" s="0" t="n">
        <v>0.084614661853416</v>
      </c>
      <c r="BN156" s="0" t="e">
        <f aca="false">#REF!/#REF!</f>
        <v>#REF!</v>
      </c>
      <c r="BO156" s="20" t="n">
        <v>0.0489196438835</v>
      </c>
    </row>
    <row r="157" customFormat="false" ht="12.8" hidden="false" customHeight="false" outlineLevel="0" collapsed="false">
      <c r="A157" s="0" t="s">
        <v>210</v>
      </c>
      <c r="B157" s="0" t="s">
        <v>50</v>
      </c>
      <c r="C157" s="0" t="s">
        <v>59</v>
      </c>
      <c r="D157" s="0" t="s">
        <v>187</v>
      </c>
      <c r="E157" s="0" t="n">
        <v>0.05928</v>
      </c>
      <c r="F157" s="0" t="n">
        <v>0.909975</v>
      </c>
      <c r="G157" s="0" t="n">
        <v>310</v>
      </c>
      <c r="H157" s="0" t="n">
        <v>261</v>
      </c>
      <c r="I157" s="0" t="s">
        <v>53</v>
      </c>
      <c r="J157" s="0" t="n">
        <v>0</v>
      </c>
      <c r="K157" s="0" t="n">
        <v>0.031591</v>
      </c>
      <c r="L157" s="0" t="n">
        <v>0.00905334902080317</v>
      </c>
      <c r="M157" s="1" t="n">
        <v>0.0201843053744405</v>
      </c>
      <c r="N157" s="0" t="n">
        <v>0.188490388507058</v>
      </c>
      <c r="O157" s="0" t="n">
        <v>0.175238018677996</v>
      </c>
      <c r="P157" s="0" t="n">
        <v>0.142793948116271</v>
      </c>
      <c r="Q157" s="0" t="n">
        <v>0.203977146469511</v>
      </c>
      <c r="R157" s="19" t="n">
        <v>0.0356032920772</v>
      </c>
      <c r="S157" s="19" t="n">
        <v>0.0265499430563968</v>
      </c>
      <c r="T157" s="0" t="n">
        <v>5.17770907630667E-005</v>
      </c>
      <c r="U157" s="19" t="n">
        <v>7.95961175364E-005</v>
      </c>
      <c r="V157" s="19" t="n">
        <v>6.66183622933167E-005</v>
      </c>
      <c r="Z157" s="1"/>
      <c r="AA157" s="1"/>
      <c r="AB157" s="19"/>
      <c r="AJ157" s="0" t="n">
        <v>0.701883381209068</v>
      </c>
      <c r="AK157" s="0" t="n">
        <v>9.60764822317E-005</v>
      </c>
      <c r="AL157" s="0" t="n">
        <f aca="false">AK157-0.0000278190267733333</f>
        <v>6.82574554583667E-005</v>
      </c>
      <c r="AM157" s="0" t="n">
        <v>0.577873173621765</v>
      </c>
      <c r="AN157" s="0" t="n">
        <v>0.00664088658984536</v>
      </c>
      <c r="AO157" s="0" t="n">
        <v>5.10434307788667E-005</v>
      </c>
      <c r="AP157" s="0" t="n">
        <v>0.778379191903867</v>
      </c>
      <c r="AQ157" s="0" t="n">
        <v>9.443738906665E-005</v>
      </c>
      <c r="AR157" s="0" t="n">
        <v>6.66183622933167E-005</v>
      </c>
      <c r="AS157" s="0" t="n">
        <v>0.610293447991024</v>
      </c>
      <c r="AT157" s="0" t="n">
        <v>0.0136423121620569</v>
      </c>
      <c r="AU157" s="3" t="n">
        <v>0.0292007473895199</v>
      </c>
      <c r="AV157" s="0" t="n">
        <v>0.0321009136307165</v>
      </c>
      <c r="AW157" s="0" t="n">
        <v>0.000165463480456667</v>
      </c>
      <c r="AZ157" s="0" t="n">
        <v>0.247306040314871</v>
      </c>
      <c r="BA157" s="0" t="n">
        <v>0.227806040314871</v>
      </c>
      <c r="BC157" s="0" t="n">
        <v>0.162293948116271</v>
      </c>
      <c r="BD157" s="0" t="n">
        <v>0.142793948116271</v>
      </c>
      <c r="BE157" s="0" t="n">
        <v>0.0683923169793466</v>
      </c>
      <c r="BF157" s="3" t="n">
        <v>0.0307923169793466</v>
      </c>
      <c r="BG157" s="0" t="n">
        <v>0.0241479686165952</v>
      </c>
      <c r="BH157" s="0" t="n">
        <f aca="false">M157/BG157</f>
        <v>0.835859350942226</v>
      </c>
      <c r="BI157" s="0" t="n">
        <v>0.00145412962257886</v>
      </c>
      <c r="BJ157" s="0" t="n">
        <v>0.457206994794129</v>
      </c>
      <c r="BK157" s="0" t="n">
        <v>0</v>
      </c>
      <c r="BL157" s="0" t="n">
        <v>0</v>
      </c>
      <c r="BM157" s="0" t="n">
        <v>0</v>
      </c>
      <c r="BN157" s="0" t="e">
        <f aca="false">#REF!/#REF!</f>
        <v>#REF!</v>
      </c>
      <c r="BO157" s="20" t="n">
        <v>0.026641685718</v>
      </c>
    </row>
    <row r="158" customFormat="false" ht="12.8" hidden="false" customHeight="false" outlineLevel="0" collapsed="false">
      <c r="A158" s="0" t="s">
        <v>211</v>
      </c>
      <c r="B158" s="0" t="s">
        <v>50</v>
      </c>
      <c r="C158" s="0" t="s">
        <v>51</v>
      </c>
      <c r="D158" s="0" t="s">
        <v>187</v>
      </c>
      <c r="E158" s="0" t="n">
        <v>0.39915</v>
      </c>
      <c r="F158" s="0" t="n">
        <v>3.39025</v>
      </c>
      <c r="G158" s="0" t="n">
        <v>948</v>
      </c>
      <c r="H158" s="0" t="n">
        <v>886</v>
      </c>
      <c r="I158" s="0" t="s">
        <v>55</v>
      </c>
      <c r="J158" s="0" t="n">
        <v>0.0887294533</v>
      </c>
      <c r="K158" s="0" t="n">
        <v>0.172299</v>
      </c>
      <c r="L158" s="0" t="n">
        <v>0.0308409540003872</v>
      </c>
      <c r="M158" s="1" t="n">
        <v>0.0248629367801727</v>
      </c>
      <c r="N158" s="0" t="n">
        <v>0.18412548771069</v>
      </c>
      <c r="O158" s="0" t="n">
        <v>0.296723270940283</v>
      </c>
      <c r="P158" s="0" t="n">
        <v>0.240321528546743</v>
      </c>
      <c r="Q158" s="0" t="n">
        <v>0.241989052222904</v>
      </c>
      <c r="R158" s="19" t="n">
        <v>0.20923182025</v>
      </c>
      <c r="S158" s="19" t="n">
        <v>0.178390866249613</v>
      </c>
      <c r="T158" s="0" t="n">
        <v>8.508563662E-005</v>
      </c>
      <c r="U158" s="19" t="n">
        <v>0.00011612924662</v>
      </c>
      <c r="V158" s="19" t="n">
        <v>0.00014059625862</v>
      </c>
      <c r="Z158" s="1"/>
      <c r="AA158" s="1"/>
      <c r="AB158" s="19"/>
      <c r="AJ158" s="0" t="n">
        <v>1.33513523574605</v>
      </c>
      <c r="AK158" s="0" t="n">
        <v>0.000171900706469</v>
      </c>
      <c r="AL158" s="0" t="n">
        <f aca="false">AK158-0.00003104361</f>
        <v>0.000140857096469</v>
      </c>
      <c r="AM158" s="0" t="n">
        <v>100</v>
      </c>
      <c r="AN158" s="0" t="n">
        <v>1.1511398207131E-034</v>
      </c>
      <c r="AO158" s="0" t="n">
        <v>8.5081960788E-005</v>
      </c>
      <c r="AP158" s="0" t="n">
        <v>1.34609618193194</v>
      </c>
      <c r="AQ158" s="0" t="n">
        <v>0.00017163986862</v>
      </c>
      <c r="AR158" s="0" t="n">
        <v>0.00014059625862</v>
      </c>
      <c r="AS158" s="0" t="n">
        <v>0.462038726160551</v>
      </c>
      <c r="AT158" s="0" t="n">
        <v>1.66660666819538E-033</v>
      </c>
      <c r="AU158" s="3" t="n">
        <v>0.095075901107307</v>
      </c>
      <c r="AV158" s="0" t="n">
        <v>0.116390517276172</v>
      </c>
      <c r="AW158" s="0" t="n">
        <v>0.000191349425487</v>
      </c>
      <c r="AZ158" s="0" t="n">
        <v>0.158328931690783</v>
      </c>
      <c r="BA158" s="0" t="n">
        <v>0.138828931690783</v>
      </c>
      <c r="BC158" s="0" t="n">
        <v>0.259821528546743</v>
      </c>
      <c r="BD158" s="0" t="n">
        <v>0.240321528546743</v>
      </c>
      <c r="BE158" s="0" t="n">
        <v>0.138978839087579</v>
      </c>
      <c r="BF158" s="3" t="n">
        <v>0.099978839087579</v>
      </c>
      <c r="BG158" s="0" t="n">
        <v>0.0383727886192757</v>
      </c>
      <c r="BH158" s="0" t="n">
        <f aca="false">M158/BG158</f>
        <v>0.64793145546069</v>
      </c>
      <c r="BI158" s="0" t="n">
        <v>5.05984894023358E-042</v>
      </c>
      <c r="BJ158" s="0" t="n">
        <v>0.549133247116402</v>
      </c>
      <c r="BK158" s="0" t="n">
        <v>0.135169050635456</v>
      </c>
      <c r="BL158" s="0" t="n">
        <v>0.129922940582441</v>
      </c>
      <c r="BM158" s="0" t="n">
        <v>0.110422940582441</v>
      </c>
      <c r="BN158" s="0" t="e">
        <f aca="false">#REF!/#REF!</f>
        <v>#REF!</v>
      </c>
      <c r="BO158" s="20" t="n">
        <v>0.19238074744</v>
      </c>
    </row>
    <row r="159" customFormat="false" ht="12.8" hidden="false" customHeight="false" outlineLevel="0" collapsed="false">
      <c r="A159" s="0" t="s">
        <v>212</v>
      </c>
      <c r="B159" s="0" t="s">
        <v>50</v>
      </c>
      <c r="C159" s="0" t="s">
        <v>51</v>
      </c>
      <c r="D159" s="0" t="s">
        <v>187</v>
      </c>
      <c r="E159" s="0" t="n">
        <v>0.161675</v>
      </c>
      <c r="F159" s="0" t="n">
        <v>1.7685</v>
      </c>
      <c r="G159" s="0" t="n">
        <v>216</v>
      </c>
      <c r="H159" s="0" t="n">
        <v>179</v>
      </c>
      <c r="I159" s="0" t="s">
        <v>53</v>
      </c>
      <c r="J159" s="0" t="n">
        <v>0.0160153266</v>
      </c>
      <c r="K159" s="0" t="n">
        <v>0.040373</v>
      </c>
      <c r="L159" s="0" t="n">
        <v>0.0070301523402367</v>
      </c>
      <c r="M159" s="1" t="n">
        <v>0.0293319924711567</v>
      </c>
      <c r="N159" s="0" t="n">
        <v>0.220846174521142</v>
      </c>
      <c r="O159" s="0" t="n">
        <v>0.159782100012891</v>
      </c>
      <c r="P159" s="0" t="n">
        <v>0.126238088128133</v>
      </c>
      <c r="Q159" s="0" t="n">
        <v>0.234465108166547</v>
      </c>
      <c r="R159" s="19" t="n">
        <v>0.047312169488</v>
      </c>
      <c r="S159" s="19" t="n">
        <v>0.0402820171477633</v>
      </c>
      <c r="T159" s="0" t="n">
        <v>7.08880373835E-005</v>
      </c>
      <c r="U159" s="19" t="n">
        <v>0.0001019316473835</v>
      </c>
      <c r="V159" s="19" t="n">
        <v>0.0001470984869385</v>
      </c>
      <c r="Z159" s="1"/>
      <c r="AA159" s="1"/>
      <c r="AB159" s="19"/>
      <c r="AJ159" s="0" t="n">
        <v>2.11676728645782</v>
      </c>
      <c r="AK159" s="0" t="n">
        <v>0.0001781420969385</v>
      </c>
      <c r="AL159" s="0" t="n">
        <f aca="false">AK159-0.00003104361</f>
        <v>0.0001470984869385</v>
      </c>
      <c r="AM159" s="0" t="n">
        <v>100</v>
      </c>
      <c r="AN159" s="0" t="n">
        <v>1.49861706761E-009</v>
      </c>
      <c r="AO159" s="0" t="n">
        <v>7.08880373835E-005</v>
      </c>
      <c r="AP159" s="0" t="n">
        <v>2.11676728645782</v>
      </c>
      <c r="AQ159" s="0" t="n">
        <v>0.0001781420969385</v>
      </c>
      <c r="AR159" s="0" t="n">
        <v>0.0001470984869385</v>
      </c>
      <c r="AS159" s="0" t="n">
        <v>1.54717343661948</v>
      </c>
      <c r="AT159" s="0" t="n">
        <v>2.99723413522E-009</v>
      </c>
      <c r="AU159" s="3" t="n">
        <v>0.0438451959243639</v>
      </c>
      <c r="AV159" s="0" t="n">
        <v>0.00471077996765253</v>
      </c>
      <c r="AW159" s="0" t="n">
        <v>0.0002073926725395</v>
      </c>
      <c r="AZ159" s="0" t="n">
        <v>0.261752138666675</v>
      </c>
      <c r="BA159" s="0" t="n">
        <v>0.242952138666675</v>
      </c>
      <c r="BC159" s="0" t="n">
        <v>0.145038088128133</v>
      </c>
      <c r="BD159" s="0" t="n">
        <v>0.126238088128133</v>
      </c>
      <c r="BE159" s="0" t="n">
        <v>0.094852017877722</v>
      </c>
      <c r="BF159" s="3" t="n">
        <v>0.055852017877722</v>
      </c>
      <c r="BG159" s="0" t="n">
        <v>0.0391181860678765</v>
      </c>
      <c r="BH159" s="0" t="n">
        <f aca="false">M159/BG159</f>
        <v>0.74983007699439</v>
      </c>
      <c r="BI159" s="0" t="n">
        <v>3.68255514917244E-006</v>
      </c>
      <c r="BJ159" s="0" t="n">
        <v>0.697198572051394</v>
      </c>
      <c r="BK159" s="0" t="n">
        <v>0.16831767384465</v>
      </c>
      <c r="BL159" s="0" t="n">
        <v>0.195379796962499</v>
      </c>
      <c r="BM159" s="0" t="n">
        <v>0.176579796962499</v>
      </c>
      <c r="BN159" s="0" t="e">
        <f aca="false">#REF!/#REF!</f>
        <v>#REF!</v>
      </c>
      <c r="BO159" s="20" t="n">
        <v>0.035685952687</v>
      </c>
    </row>
    <row r="160" customFormat="false" ht="12.8" hidden="false" customHeight="false" outlineLevel="0" collapsed="false">
      <c r="A160" s="0" t="s">
        <v>213</v>
      </c>
      <c r="B160" s="0" t="s">
        <v>50</v>
      </c>
      <c r="C160" s="0" t="s">
        <v>59</v>
      </c>
      <c r="D160" s="0" t="s">
        <v>187</v>
      </c>
      <c r="E160" s="0" t="n">
        <v>0.13685</v>
      </c>
      <c r="F160" s="0" t="n">
        <v>1.67925</v>
      </c>
      <c r="G160" s="0" t="n">
        <v>312</v>
      </c>
      <c r="H160" s="0" t="n">
        <v>272</v>
      </c>
      <c r="I160" s="0" t="s">
        <v>53</v>
      </c>
      <c r="J160" s="0" t="n">
        <v>0</v>
      </c>
      <c r="K160" s="0" t="n">
        <v>0.045519</v>
      </c>
      <c r="L160" s="0" t="n">
        <v>0.00910970721322636</v>
      </c>
      <c r="M160" s="1" t="n">
        <v>0.0276730217884295</v>
      </c>
      <c r="N160" s="0" t="n">
        <v>0.0697738674385133</v>
      </c>
      <c r="O160" s="0" t="n">
        <v>0.194807235319906</v>
      </c>
      <c r="P160" s="0" t="n">
        <v>0.152628634107153</v>
      </c>
      <c r="Q160" s="0" t="n">
        <v>0.156369786552736</v>
      </c>
      <c r="R160" s="19" t="n">
        <v>0.066404487108</v>
      </c>
      <c r="S160" s="19" t="n">
        <v>0.0572947798947736</v>
      </c>
      <c r="T160" s="0" t="n">
        <v>8.18129851996667E-005</v>
      </c>
      <c r="U160" s="19" t="n">
        <v>0.000109632011973</v>
      </c>
      <c r="V160" s="19" t="n">
        <v>0.000156984940820667</v>
      </c>
      <c r="Z160" s="1"/>
      <c r="AA160" s="1"/>
      <c r="AB160" s="19"/>
      <c r="AJ160" s="0" t="n">
        <v>3.48171217938681</v>
      </c>
      <c r="AK160" s="0" t="n">
        <v>0.000184803967594</v>
      </c>
      <c r="AL160" s="0" t="n">
        <f aca="false">AK160-0.0000278190267733333</f>
        <v>0.000156984940820667</v>
      </c>
      <c r="AM160" s="0" t="n">
        <v>100</v>
      </c>
      <c r="AN160" s="0" t="n">
        <v>1.975506E-014</v>
      </c>
      <c r="AO160" s="0" t="n">
        <v>8.18129851996667E-005</v>
      </c>
      <c r="AP160" s="0" t="n">
        <v>3.48171217938681</v>
      </c>
      <c r="AQ160" s="0" t="n">
        <v>0.000184803967594</v>
      </c>
      <c r="AR160" s="0" t="n">
        <v>0.000156984940820667</v>
      </c>
      <c r="AS160" s="0" t="n">
        <v>1.28337203896354</v>
      </c>
      <c r="AT160" s="0" t="n">
        <v>4.259225E-014</v>
      </c>
      <c r="AU160" s="3" t="n">
        <v>0.0490200383007779</v>
      </c>
      <c r="AV160" s="0" t="n">
        <v>0.000199044547744801</v>
      </c>
      <c r="AW160" s="0" t="n">
        <v>0.000155816473881667</v>
      </c>
      <c r="AZ160" s="0" t="n">
        <v>0.0470861193620191</v>
      </c>
      <c r="BA160" s="0" t="n">
        <v>0.0275861193620191</v>
      </c>
      <c r="BC160" s="0" t="n">
        <v>0.172128634107153</v>
      </c>
      <c r="BD160" s="0" t="n">
        <v>0.152628634107153</v>
      </c>
      <c r="BE160" s="0" t="n">
        <v>0.0971571287803505</v>
      </c>
      <c r="BF160" s="3" t="n">
        <v>0.0595571287803505</v>
      </c>
      <c r="BG160" s="0" t="n">
        <v>0.0402810658960511</v>
      </c>
      <c r="BH160" s="0" t="n">
        <f aca="false">M160/BG160</f>
        <v>0.686998250241</v>
      </c>
      <c r="BI160" s="0" t="n">
        <v>3.5541637339E-010</v>
      </c>
      <c r="BJ160" s="0" t="n">
        <v>0.593065537134886</v>
      </c>
      <c r="BK160" s="0" t="n">
        <v>0</v>
      </c>
      <c r="BL160" s="0" t="n">
        <v>0</v>
      </c>
      <c r="BM160" s="0" t="n">
        <v>0</v>
      </c>
      <c r="BN160" s="0" t="e">
        <f aca="false">#REF!/#REF!</f>
        <v>#REF!</v>
      </c>
      <c r="BO160" s="20" t="n">
        <v>0.056443540312</v>
      </c>
    </row>
    <row r="161" customFormat="false" ht="12.8" hidden="false" customHeight="false" outlineLevel="0" collapsed="false">
      <c r="A161" s="0" t="s">
        <v>214</v>
      </c>
      <c r="B161" s="0" t="s">
        <v>50</v>
      </c>
      <c r="C161" s="21" t="s">
        <v>51</v>
      </c>
      <c r="D161" s="0" t="s">
        <v>187</v>
      </c>
      <c r="E161" s="0" t="n">
        <v>0.2961</v>
      </c>
      <c r="F161" s="0" t="n">
        <v>2.60125</v>
      </c>
      <c r="G161" s="0" t="n">
        <v>785</v>
      </c>
      <c r="H161" s="0" t="n">
        <v>732</v>
      </c>
      <c r="I161" s="0" t="s">
        <v>55</v>
      </c>
      <c r="J161" s="0" t="n">
        <v>0.0722090099</v>
      </c>
      <c r="K161" s="0" t="n">
        <v>0.0812949</v>
      </c>
      <c r="L161" s="0" t="n">
        <v>0.0254728216284633</v>
      </c>
      <c r="M161" s="1" t="n">
        <v>0.0199320179676664</v>
      </c>
      <c r="N161" s="0" t="n">
        <v>0.286264548675279</v>
      </c>
      <c r="O161" s="0" t="n">
        <v>0.254449400517817</v>
      </c>
      <c r="P161" s="0" t="n">
        <v>0.206944135477971</v>
      </c>
      <c r="Q161" s="0" t="n">
        <v>0.303178486895296</v>
      </c>
      <c r="R161" s="19" t="n">
        <v>0.147666479715</v>
      </c>
      <c r="S161" s="19" t="n">
        <v>0.122193658086537</v>
      </c>
      <c r="T161" s="0" t="n">
        <v>6.20510099578E-005</v>
      </c>
      <c r="U161" s="19" t="n">
        <v>9.30946199578E-005</v>
      </c>
      <c r="V161" s="19" t="n">
        <v>0.000105587001772</v>
      </c>
      <c r="Z161" s="1"/>
      <c r="AA161" s="1"/>
      <c r="AB161" s="19"/>
      <c r="AJ161" s="0" t="n">
        <v>3.70305878920318</v>
      </c>
      <c r="AK161" s="0" t="n">
        <v>0.000136630611772</v>
      </c>
      <c r="AL161" s="0" t="n">
        <f aca="false">AK161-0.00003104361</f>
        <v>0.000105587001772</v>
      </c>
      <c r="AM161" s="0" t="n">
        <v>100</v>
      </c>
      <c r="AN161" s="0" t="n">
        <v>4.85425236186334E-030</v>
      </c>
      <c r="AO161" s="0" t="n">
        <v>6.19448904839E-005</v>
      </c>
      <c r="AP161" s="0" t="n">
        <v>3.71740675680794</v>
      </c>
      <c r="AQ161" s="0" t="n">
        <v>0.000136630611772</v>
      </c>
      <c r="AR161" s="0" t="n">
        <v>0.000105587001772</v>
      </c>
      <c r="AS161" s="0" t="n">
        <v>0.632620095877958</v>
      </c>
      <c r="AT161" s="0" t="n">
        <v>6.20309095534682E-030</v>
      </c>
      <c r="AU161" s="3" t="n">
        <v>0.07917087489382</v>
      </c>
      <c r="AV161" s="0" t="n">
        <v>0.0150521230174744</v>
      </c>
      <c r="AW161" s="0" t="n">
        <v>0.000164024140246</v>
      </c>
      <c r="AZ161" s="0" t="n">
        <v>0.253748606041388</v>
      </c>
      <c r="BA161" s="0" t="n">
        <v>0.234948606041388</v>
      </c>
      <c r="BC161" s="0" t="n">
        <v>0.225744135477971</v>
      </c>
      <c r="BD161" s="0" t="n">
        <v>0.206944135477971</v>
      </c>
      <c r="BE161" s="0" t="n">
        <v>0.112931590726168</v>
      </c>
      <c r="BF161" s="3" t="n">
        <v>0.073931590726168</v>
      </c>
      <c r="BG161" s="0" t="n">
        <v>0.0331261901405593</v>
      </c>
      <c r="BH161" s="0" t="n">
        <f aca="false">M161/BG161</f>
        <v>0.601699678806766</v>
      </c>
      <c r="BI161" s="0" t="n">
        <v>9.22088711366618E-032</v>
      </c>
      <c r="BJ161" s="0" t="n">
        <v>0.514909701486257</v>
      </c>
      <c r="BK161" s="0" t="n">
        <v>0.141022779705967</v>
      </c>
      <c r="BL161" s="0" t="n">
        <v>0.130925425389862</v>
      </c>
      <c r="BM161" s="0" t="n">
        <v>0.112125425389862</v>
      </c>
      <c r="BN161" s="0" t="e">
        <f aca="false">#REF!/#REF!</f>
        <v>#REF!</v>
      </c>
      <c r="BO161" s="20" t="n">
        <v>0.13146676634</v>
      </c>
    </row>
    <row r="162" customFormat="false" ht="12.8" hidden="false" customHeight="false" outlineLevel="0" collapsed="false">
      <c r="A162" s="0" t="s">
        <v>215</v>
      </c>
      <c r="B162" s="0" t="s">
        <v>50</v>
      </c>
      <c r="C162" s="21" t="s">
        <v>59</v>
      </c>
      <c r="D162" s="0" t="s">
        <v>187</v>
      </c>
      <c r="E162" s="0" t="n">
        <v>0.07197</v>
      </c>
      <c r="F162" s="0" t="n">
        <v>1.019525</v>
      </c>
      <c r="G162" s="0" t="n">
        <v>124</v>
      </c>
      <c r="H162" s="0" t="n">
        <v>90</v>
      </c>
      <c r="I162" s="0" t="s">
        <v>53</v>
      </c>
      <c r="J162" s="0" t="n">
        <v>0</v>
      </c>
      <c r="K162" s="0" t="n">
        <v>0.021722</v>
      </c>
      <c r="L162" s="0" t="n">
        <v>0.00361813167607298</v>
      </c>
      <c r="M162" s="1" t="n">
        <v>0.0305468650787346</v>
      </c>
      <c r="N162" s="0" t="n">
        <v>0.213584311655912</v>
      </c>
      <c r="O162" s="0" t="n">
        <v>0.145169582558647</v>
      </c>
      <c r="P162" s="0" t="n">
        <v>0.121918439665041</v>
      </c>
      <c r="Q162" s="0" t="n">
        <v>0.215642080440945</v>
      </c>
      <c r="R162" s="19" t="n">
        <v>0.0223520001376</v>
      </c>
      <c r="S162" s="19" t="n">
        <v>0.018733868461527</v>
      </c>
      <c r="T162" s="0" t="n">
        <v>7.96111630136667E-005</v>
      </c>
      <c r="U162" s="19" t="n">
        <v>0.000107430189787</v>
      </c>
      <c r="V162" s="19" t="n">
        <v>0.000111836420418167</v>
      </c>
      <c r="Z162" s="1"/>
      <c r="AA162" s="1"/>
      <c r="AB162" s="19"/>
      <c r="AJ162" s="0" t="n">
        <v>1.78504682463267</v>
      </c>
      <c r="AK162" s="0" t="n">
        <v>0.0001396554471915</v>
      </c>
      <c r="AL162" s="0" t="n">
        <f aca="false">AK162-0.0000278190267733333</f>
        <v>0.000111836420418167</v>
      </c>
      <c r="AM162" s="0" t="n">
        <v>100</v>
      </c>
      <c r="AN162" s="0" t="n">
        <v>0.05643032874804</v>
      </c>
      <c r="AO162" s="0" t="n">
        <v>7.96111630136667E-005</v>
      </c>
      <c r="AP162" s="0" t="n">
        <v>1.78504682463267</v>
      </c>
      <c r="AQ162" s="0" t="n">
        <v>0.0001396554471915</v>
      </c>
      <c r="AR162" s="0" t="n">
        <v>0.000111836420418167</v>
      </c>
      <c r="AS162" s="0" t="n">
        <v>0.770202299494392</v>
      </c>
      <c r="AT162" s="0" t="n">
        <v>0.11286065749608</v>
      </c>
      <c r="AU162" s="3" t="n">
        <v>0.0284278911216575</v>
      </c>
      <c r="AV162" s="0" t="n">
        <v>0.292293182728668</v>
      </c>
      <c r="AW162" s="0" t="n">
        <v>0.000111773502647667</v>
      </c>
      <c r="AZ162" s="0" t="n">
        <v>0.241511686020037</v>
      </c>
      <c r="BA162" s="0" t="n">
        <v>0.222711686020037</v>
      </c>
      <c r="BC162" s="0" t="n">
        <v>0.140718439665041</v>
      </c>
      <c r="BD162" s="0" t="n">
        <v>0.121918439665041</v>
      </c>
      <c r="BE162" s="0" t="n">
        <v>0.061567196462147</v>
      </c>
      <c r="BF162" s="3" t="n">
        <v>0.023967196462147</v>
      </c>
      <c r="BG162" s="0" t="n">
        <v>0.0379873294075817</v>
      </c>
      <c r="BH162" s="0" t="n">
        <f aca="false">M162/BG162</f>
        <v>0.804132997900029</v>
      </c>
      <c r="BI162" s="0" t="n">
        <v>0.00835607775543391</v>
      </c>
      <c r="BJ162" s="0" t="n">
        <v>0.498522837221795</v>
      </c>
      <c r="BK162" s="0" t="n">
        <v>0</v>
      </c>
      <c r="BL162" s="0" t="n">
        <v>0</v>
      </c>
      <c r="BM162" s="0" t="n">
        <v>0</v>
      </c>
      <c r="BN162" s="0" t="e">
        <f aca="false">#REF!/#REF!</f>
        <v>#REF!</v>
      </c>
      <c r="BO162" s="20" t="n">
        <v>0.0182525704332</v>
      </c>
    </row>
    <row r="163" customFormat="false" ht="12.8" hidden="false" customHeight="false" outlineLevel="0" collapsed="false">
      <c r="A163" s="0" t="s">
        <v>216</v>
      </c>
      <c r="B163" s="0" t="s">
        <v>50</v>
      </c>
      <c r="C163" s="21" t="s">
        <v>59</v>
      </c>
      <c r="D163" s="0" t="s">
        <v>187</v>
      </c>
      <c r="E163" s="0" t="n">
        <v>0.0620275</v>
      </c>
      <c r="F163" s="0" t="n">
        <v>1.071</v>
      </c>
      <c r="G163" s="0" t="n">
        <v>39</v>
      </c>
      <c r="H163" s="0" t="n">
        <v>17</v>
      </c>
      <c r="I163" s="0" t="s">
        <v>53</v>
      </c>
      <c r="J163" s="0" t="n">
        <v>0</v>
      </c>
      <c r="K163" s="0" t="n">
        <v>0.026321</v>
      </c>
      <c r="L163" s="0" t="n">
        <v>0.00113959988018394</v>
      </c>
      <c r="M163" s="1" t="n">
        <v>0.129845369833425</v>
      </c>
      <c r="N163" s="0" t="n">
        <v>0.271004459211009</v>
      </c>
      <c r="O163" s="0" t="n">
        <v>0.315217293381826</v>
      </c>
      <c r="P163" s="0" t="n">
        <v>0.288275722160323</v>
      </c>
      <c r="Q163" s="0" t="n">
        <v>0.270811256131586</v>
      </c>
      <c r="R163" s="19" t="n">
        <v>0.025676272784</v>
      </c>
      <c r="S163" s="19" t="n">
        <v>0.0245366729038161</v>
      </c>
      <c r="T163" s="0" t="n">
        <v>-2.78190267733333E-005</v>
      </c>
      <c r="U163" s="19" t="n">
        <v>0</v>
      </c>
      <c r="V163" s="19" t="n">
        <v>0</v>
      </c>
      <c r="Z163" s="1"/>
      <c r="AA163" s="1"/>
      <c r="AB163" s="19"/>
      <c r="AJ163" s="0" t="n">
        <v>100</v>
      </c>
      <c r="AK163" s="0" t="n">
        <v>0.000681567558447</v>
      </c>
      <c r="AL163" s="0" t="n">
        <f aca="false">AK163-0.0000278190267733333</f>
        <v>0.000653748531673667</v>
      </c>
      <c r="AM163" s="0" t="n">
        <v>100</v>
      </c>
      <c r="AN163" s="0" t="n">
        <v>0</v>
      </c>
      <c r="AO163" s="0" t="n">
        <v>0</v>
      </c>
      <c r="AP163" s="0" t="n">
        <v>100</v>
      </c>
      <c r="AQ163" s="0" t="n">
        <v>0</v>
      </c>
      <c r="AR163" s="0" t="n">
        <v>-2.78190267733333E-005</v>
      </c>
      <c r="AS163" s="0" t="n">
        <v>100</v>
      </c>
      <c r="AT163" s="0" t="n">
        <v>0</v>
      </c>
      <c r="AU163" s="3" t="n">
        <v>0.0622027638935643</v>
      </c>
      <c r="AV163" s="0" t="n">
        <v>0.00025183523774139</v>
      </c>
      <c r="AW163" s="0" t="n">
        <v>-2.78190267733333E-005</v>
      </c>
      <c r="AZ163" s="0" t="n">
        <v>0.526550321490658</v>
      </c>
      <c r="BA163" s="0" t="n">
        <v>0.507050321490658</v>
      </c>
      <c r="BC163" s="0" t="n">
        <v>0.307775722160323</v>
      </c>
      <c r="BD163" s="0" t="n">
        <v>0.288275722160323</v>
      </c>
      <c r="BE163" s="0" t="n">
        <v>0.0615915433428395</v>
      </c>
      <c r="BF163" s="3" t="n">
        <v>0.0239915433428395</v>
      </c>
      <c r="BG163" s="0" t="n">
        <v>0.119897658943682</v>
      </c>
      <c r="BH163" s="0" t="n">
        <f aca="false">M163/BG163</f>
        <v>1.0829683496524</v>
      </c>
      <c r="BI163" s="0" t="n">
        <v>0.257985072143532</v>
      </c>
      <c r="BJ163" s="0" t="n">
        <v>0.200897415774935</v>
      </c>
      <c r="BK163" s="0" t="n">
        <v>0</v>
      </c>
      <c r="BL163" s="0" t="n">
        <v>0</v>
      </c>
      <c r="BM163" s="0" t="n">
        <v>0</v>
      </c>
      <c r="BN163" s="0" t="e">
        <f aca="false">#REF!/#REF!</f>
        <v>#REF!</v>
      </c>
      <c r="BO163" s="20" t="n">
        <v>0.025676272784</v>
      </c>
    </row>
    <row r="164" customFormat="false" ht="12.8" hidden="false" customHeight="false" outlineLevel="0" collapsed="false">
      <c r="A164" s="0" t="s">
        <v>217</v>
      </c>
      <c r="B164" s="0" t="s">
        <v>50</v>
      </c>
      <c r="C164" s="0" t="s">
        <v>51</v>
      </c>
      <c r="D164" s="0" t="s">
        <v>187</v>
      </c>
      <c r="E164" s="0" t="n">
        <v>0.130675</v>
      </c>
      <c r="F164" s="0" t="n">
        <v>1.44275</v>
      </c>
      <c r="G164" s="0" t="n">
        <v>339</v>
      </c>
      <c r="H164" s="0" t="n">
        <v>287</v>
      </c>
      <c r="I164" s="0" t="s">
        <v>53</v>
      </c>
      <c r="J164" s="0" t="n">
        <v>0.020249</v>
      </c>
      <c r="K164" s="0" t="n">
        <v>0.054599</v>
      </c>
      <c r="L164" s="0" t="n">
        <v>0.011030142772398</v>
      </c>
      <c r="M164" s="1" t="n">
        <v>0.0280208094858661</v>
      </c>
      <c r="N164" s="0" t="n">
        <v>0.290423027304578</v>
      </c>
      <c r="O164" s="0" t="n">
        <v>0.244488477365166</v>
      </c>
      <c r="P164" s="0" t="n">
        <v>0.202327302243627</v>
      </c>
      <c r="Q164" s="0" t="n">
        <v>0.305361413537876</v>
      </c>
      <c r="R164" s="19" t="n">
        <v>0.06573493447</v>
      </c>
      <c r="S164" s="19" t="n">
        <v>0.054704791697602</v>
      </c>
      <c r="T164" s="0" t="n">
        <v>6.82698351252E-005</v>
      </c>
      <c r="U164" s="19" t="n">
        <v>9.93134451252E-005</v>
      </c>
      <c r="V164" s="19" t="n">
        <v>8.396642742E-005</v>
      </c>
      <c r="Z164" s="1"/>
      <c r="AA164" s="1"/>
      <c r="AB164" s="19"/>
      <c r="AJ164" s="0" t="n">
        <v>0.398226849012872</v>
      </c>
      <c r="AK164" s="0" t="n">
        <v>0.00011501003742</v>
      </c>
      <c r="AL164" s="0" t="n">
        <f aca="false">AK164-0.00003104361</f>
        <v>8.396642742E-005</v>
      </c>
      <c r="AM164" s="0" t="n">
        <v>100</v>
      </c>
      <c r="AN164" s="0" t="n">
        <v>0</v>
      </c>
      <c r="AO164" s="0" t="n">
        <v>6.82698351252E-005</v>
      </c>
      <c r="AP164" s="0" t="n">
        <v>0.398226849012872</v>
      </c>
      <c r="AQ164" s="0" t="n">
        <v>0.00011501003742</v>
      </c>
      <c r="AR164" s="0" t="n">
        <v>8.396642742E-005</v>
      </c>
      <c r="AS164" s="0" t="n">
        <v>0.732157738294878</v>
      </c>
      <c r="AT164" s="0" t="n">
        <v>0.00539463844118435</v>
      </c>
      <c r="AU164" s="3" t="n">
        <v>0.0457130678890602</v>
      </c>
      <c r="AV164" s="0" t="n">
        <v>0.0581530079191638</v>
      </c>
      <c r="AW164" s="0" t="n">
        <v>0.000149327347234</v>
      </c>
      <c r="AZ164" s="0" t="n">
        <v>0.287880574352621</v>
      </c>
      <c r="BA164" s="0" t="n">
        <v>0.268380574352621</v>
      </c>
      <c r="BC164" s="0" t="n">
        <v>0.221827302243627</v>
      </c>
      <c r="BD164" s="0" t="n">
        <v>0.202327302243627</v>
      </c>
      <c r="BE164" s="0" t="n">
        <v>0.0798580717129566</v>
      </c>
      <c r="BF164" s="3" t="n">
        <v>0.0408580717129566</v>
      </c>
      <c r="BG164" s="0" t="n">
        <v>0.0359763773770017</v>
      </c>
      <c r="BH164" s="0" t="n">
        <f aca="false">M164/BG164</f>
        <v>0.778866899027436</v>
      </c>
      <c r="BI164" s="0" t="n">
        <v>1.64140514660445E-005</v>
      </c>
      <c r="BJ164" s="0" t="n">
        <v>0.372284397135398</v>
      </c>
      <c r="BK164" s="0" t="n">
        <v>0.0142881432665681</v>
      </c>
      <c r="BL164" s="0" t="n">
        <v>0.0911300608459026</v>
      </c>
      <c r="BM164" s="0" t="n">
        <v>0.0716300608459026</v>
      </c>
      <c r="BN164" s="0" t="e">
        <f aca="false">#REF!/#REF!</f>
        <v>#REF!</v>
      </c>
      <c r="BO164" s="20" t="n">
        <v>0.0561263499615</v>
      </c>
    </row>
    <row r="165" customFormat="false" ht="12.8" hidden="false" customHeight="false" outlineLevel="0" collapsed="false">
      <c r="A165" s="0" t="s">
        <v>218</v>
      </c>
      <c r="B165" s="0" t="s">
        <v>50</v>
      </c>
      <c r="C165" s="0" t="s">
        <v>51</v>
      </c>
      <c r="D165" s="0" t="s">
        <v>187</v>
      </c>
      <c r="E165" s="0" t="n">
        <v>0.401775</v>
      </c>
      <c r="F165" s="0" t="n">
        <v>3.13575</v>
      </c>
      <c r="G165" s="0" t="n">
        <v>1251</v>
      </c>
      <c r="H165" s="0" t="n">
        <v>1186</v>
      </c>
      <c r="I165" s="0" t="s">
        <v>55</v>
      </c>
      <c r="J165" s="0" t="n">
        <v>0.0254169087</v>
      </c>
      <c r="K165" s="0" t="n">
        <v>0.3166081</v>
      </c>
      <c r="L165" s="0" t="n">
        <v>0.0407094049262951</v>
      </c>
      <c r="M165" s="1" t="n">
        <v>0.0246670233499125</v>
      </c>
      <c r="N165" s="0" t="n">
        <v>0.262049433203541</v>
      </c>
      <c r="O165" s="0" t="n">
        <v>0.287241387502876</v>
      </c>
      <c r="P165" s="0" t="n">
        <v>0.249391138893718</v>
      </c>
      <c r="Q165" s="0" t="n">
        <v>0.373938467873977</v>
      </c>
      <c r="R165" s="19" t="n">
        <v>0.246473426705</v>
      </c>
      <c r="S165" s="19" t="n">
        <v>0.205764021778705</v>
      </c>
      <c r="T165" s="0" t="n">
        <v>8.9528320602E-005</v>
      </c>
      <c r="U165" s="19" t="n">
        <v>0.000120571930602</v>
      </c>
      <c r="V165" s="19" t="n">
        <v>0.000129247335288</v>
      </c>
      <c r="Z165" s="1"/>
      <c r="AA165" s="1"/>
      <c r="AB165" s="19"/>
      <c r="AJ165" s="0" t="n">
        <v>3.4513449795339</v>
      </c>
      <c r="AK165" s="0" t="n">
        <v>0.000158899904775</v>
      </c>
      <c r="AL165" s="0" t="n">
        <f aca="false">AK165-0.00003104361</f>
        <v>0.000127856294775</v>
      </c>
      <c r="AM165" s="0" t="n">
        <v>100</v>
      </c>
      <c r="AN165" s="0" t="n">
        <v>2.87360888571627E-026</v>
      </c>
      <c r="AO165" s="0" t="n">
        <v>8.9692026712E-005</v>
      </c>
      <c r="AP165" s="0" t="n">
        <v>3.42247956825735</v>
      </c>
      <c r="AQ165" s="0" t="n">
        <v>0.000160290945288</v>
      </c>
      <c r="AR165" s="0" t="n">
        <v>0.000129247335288</v>
      </c>
      <c r="AS165" s="0" t="n">
        <v>0.79656524661469</v>
      </c>
      <c r="AT165" s="0" t="n">
        <v>9.301837103565E-027</v>
      </c>
      <c r="AU165" s="3" t="n">
        <v>0.089732803615401</v>
      </c>
      <c r="AV165" s="0" t="n">
        <v>9.30775654143E-009</v>
      </c>
      <c r="AW165" s="0" t="n">
        <v>0.000231092668842</v>
      </c>
      <c r="AZ165" s="0" t="n">
        <v>0.199694243339481</v>
      </c>
      <c r="BA165" s="0" t="n">
        <v>0.180194243339481</v>
      </c>
      <c r="BC165" s="0" t="n">
        <v>0.268891138893718</v>
      </c>
      <c r="BD165" s="0" t="n">
        <v>0.249391138893718</v>
      </c>
      <c r="BE165" s="0" t="n">
        <v>0.144880535591386</v>
      </c>
      <c r="BF165" s="3" t="n">
        <v>0.105880535591386</v>
      </c>
      <c r="BG165" s="0" t="n">
        <v>0.0332454049799904</v>
      </c>
      <c r="BH165" s="0" t="n">
        <f aca="false">M165/BG165</f>
        <v>0.741967900970344</v>
      </c>
      <c r="BI165" s="0" t="n">
        <v>3.07177473545472E-028</v>
      </c>
      <c r="BJ165" s="0" t="n">
        <v>0.535265548280244</v>
      </c>
      <c r="BK165" s="0" t="n">
        <v>0.228046596335963</v>
      </c>
      <c r="BL165" s="0" t="n">
        <v>0.236575988521417</v>
      </c>
      <c r="BM165" s="0" t="n">
        <v>0.217075988521417</v>
      </c>
      <c r="BN165" s="0" t="e">
        <f aca="false">#REF!/#REF!</f>
        <v>#REF!</v>
      </c>
      <c r="BO165" s="20" t="n">
        <v>0.225291816065</v>
      </c>
    </row>
    <row r="166" customFormat="false" ht="12.8" hidden="false" customHeight="false" outlineLevel="0" collapsed="false">
      <c r="A166" s="0" t="s">
        <v>219</v>
      </c>
      <c r="B166" s="0" t="s">
        <v>50</v>
      </c>
      <c r="C166" s="0" t="s">
        <v>51</v>
      </c>
      <c r="D166" s="0" t="s">
        <v>187</v>
      </c>
      <c r="E166" s="0" t="n">
        <v>0.396325</v>
      </c>
      <c r="F166" s="0" t="n">
        <v>3.153</v>
      </c>
      <c r="G166" s="0" t="n">
        <v>227</v>
      </c>
      <c r="H166" s="0" t="n">
        <v>200</v>
      </c>
      <c r="I166" s="0" t="s">
        <v>53</v>
      </c>
      <c r="J166" s="0" t="n">
        <v>0.0840938669</v>
      </c>
      <c r="K166" s="0" t="n">
        <v>0.0370488</v>
      </c>
      <c r="L166" s="0" t="n">
        <v>0.00735164375572799</v>
      </c>
      <c r="M166" s="1" t="n">
        <v>0.0272928685351224</v>
      </c>
      <c r="N166" s="0" t="n">
        <v>0.210118506855441</v>
      </c>
      <c r="O166" s="0" t="n">
        <v>0.197760228850369</v>
      </c>
      <c r="P166" s="0" t="n">
        <v>0.129022552074336</v>
      </c>
      <c r="Q166" s="0" t="n">
        <v>0.219316239495809</v>
      </c>
      <c r="R166" s="19" t="n">
        <v>0.1021077218</v>
      </c>
      <c r="S166" s="19" t="n">
        <v>0.094756078044272</v>
      </c>
      <c r="T166" s="0" t="n">
        <v>-3.104361E-005</v>
      </c>
      <c r="U166" s="19" t="n">
        <v>0</v>
      </c>
      <c r="V166" s="19" t="n">
        <v>0.0003128758690615</v>
      </c>
      <c r="Z166" s="1"/>
      <c r="AA166" s="1"/>
      <c r="AB166" s="19"/>
      <c r="AJ166" s="0" t="n">
        <v>100</v>
      </c>
      <c r="AK166" s="0" t="n">
        <v>0.000339178481315</v>
      </c>
      <c r="AL166" s="0" t="n">
        <f aca="false">AK166-0.00003104361</f>
        <v>0.000308134871315</v>
      </c>
      <c r="AM166" s="0" t="n">
        <v>100</v>
      </c>
      <c r="AN166" s="0" t="n">
        <v>0</v>
      </c>
      <c r="AO166" s="0" t="n">
        <v>6.9122423176E-005</v>
      </c>
      <c r="AP166" s="0" t="n">
        <v>6.65615075477106</v>
      </c>
      <c r="AQ166" s="0" t="n">
        <v>0.0003439194790615</v>
      </c>
      <c r="AR166" s="0" t="n">
        <v>0.0003128758690615</v>
      </c>
      <c r="AS166" s="0" t="n">
        <v>0.626037138781999</v>
      </c>
      <c r="AT166" s="0" t="n">
        <v>1.18322663877032E-019</v>
      </c>
      <c r="AU166" s="3" t="n">
        <v>0.10372284314666</v>
      </c>
      <c r="AV166" s="0" t="n">
        <v>0.107987181841038</v>
      </c>
      <c r="AW166" s="0" t="n">
        <v>6.9122423176E-005</v>
      </c>
      <c r="AZ166" s="0" t="n">
        <v>0.327122087946485</v>
      </c>
      <c r="BA166" s="0" t="n">
        <v>0.307622087946485</v>
      </c>
      <c r="BC166" s="0" t="n">
        <v>0.148522552074336</v>
      </c>
      <c r="BD166" s="0" t="n">
        <v>0.129022552074336</v>
      </c>
      <c r="BE166" s="0" t="n">
        <v>0.130849133320578</v>
      </c>
      <c r="BF166" s="3" t="n">
        <v>0.091849133320578</v>
      </c>
      <c r="BG166" s="0" t="n">
        <v>0.0654052980892302</v>
      </c>
      <c r="BH166" s="0" t="n">
        <f aca="false">M166/BG166</f>
        <v>0.417288344101539</v>
      </c>
      <c r="BI166" s="0" t="n">
        <v>7.49252592345094E-017</v>
      </c>
      <c r="BJ166" s="0" t="n">
        <v>0.974705182183956</v>
      </c>
      <c r="BK166" s="0" t="n">
        <v>0.141933786088089</v>
      </c>
      <c r="BL166" s="0" t="n">
        <v>0.125185459652309</v>
      </c>
      <c r="BM166" s="0" t="n">
        <v>0.105685459652309</v>
      </c>
      <c r="BN166" s="0" t="e">
        <f aca="false">#REF!/#REF!</f>
        <v>#REF!</v>
      </c>
      <c r="BO166" s="20" t="n">
        <v>0.1021077218</v>
      </c>
    </row>
    <row r="167" customFormat="false" ht="12.8" hidden="false" customHeight="false" outlineLevel="0" collapsed="false">
      <c r="A167" s="0" t="s">
        <v>220</v>
      </c>
      <c r="B167" s="0" t="s">
        <v>50</v>
      </c>
      <c r="C167" s="21" t="s">
        <v>51</v>
      </c>
      <c r="D167" s="0" t="s">
        <v>187</v>
      </c>
      <c r="E167" s="0" t="n">
        <v>0.1218</v>
      </c>
      <c r="F167" s="0" t="n">
        <v>1.36125</v>
      </c>
      <c r="G167" s="0" t="n">
        <v>299</v>
      </c>
      <c r="H167" s="0" t="n">
        <v>244</v>
      </c>
      <c r="I167" s="0" t="s">
        <v>53</v>
      </c>
      <c r="J167" s="0" t="n">
        <v>0.0124949906</v>
      </c>
      <c r="K167" s="0" t="n">
        <v>0.05215</v>
      </c>
      <c r="L167" s="0" t="n">
        <v>0.00972532683727486</v>
      </c>
      <c r="M167" s="1" t="n">
        <v>0.0237337457788583</v>
      </c>
      <c r="N167" s="0" t="n">
        <v>0.287295494086522</v>
      </c>
      <c r="O167" s="0" t="n">
        <v>0.194489164775969</v>
      </c>
      <c r="P167" s="0" t="n">
        <v>0.159315127168156</v>
      </c>
      <c r="Q167" s="0" t="n">
        <v>0.271065396111272</v>
      </c>
      <c r="R167" s="19" t="n">
        <v>0.0495332923385</v>
      </c>
      <c r="S167" s="19" t="n">
        <v>0.0398079655012251</v>
      </c>
      <c r="T167" s="0" t="n">
        <v>7.2778664341E-005</v>
      </c>
      <c r="U167" s="19" t="n">
        <v>0.000103822274341</v>
      </c>
      <c r="V167" s="19" t="n">
        <v>8.2085781411E-005</v>
      </c>
      <c r="Z167" s="1"/>
      <c r="AA167" s="1"/>
      <c r="AB167" s="19"/>
      <c r="AJ167" s="0" t="n">
        <v>1.79349153322832</v>
      </c>
      <c r="AK167" s="0" t="n">
        <v>0.000113129391411</v>
      </c>
      <c r="AL167" s="0" t="n">
        <f aca="false">AK167-0.00003104361</f>
        <v>8.2085781411E-005</v>
      </c>
      <c r="AM167" s="0" t="n">
        <v>100</v>
      </c>
      <c r="AN167" s="0" t="n">
        <v>0</v>
      </c>
      <c r="AO167" s="0" t="n">
        <v>7.2778664341E-005</v>
      </c>
      <c r="AP167" s="0" t="n">
        <v>1.79349153322832</v>
      </c>
      <c r="AQ167" s="0" t="n">
        <v>0.000113129391411</v>
      </c>
      <c r="AR167" s="0" t="n">
        <v>8.2085781411E-005</v>
      </c>
      <c r="AS167" s="0" t="n">
        <v>1.40163843885367</v>
      </c>
      <c r="AT167" s="0" t="n">
        <v>0.14757463400223</v>
      </c>
      <c r="AU167" s="3" t="n">
        <v>0.0355178824355487</v>
      </c>
      <c r="AV167" s="0" t="n">
        <v>0.296727177713001</v>
      </c>
      <c r="AW167" s="0" t="n">
        <v>0.000267432897253</v>
      </c>
      <c r="AZ167" s="0" t="n">
        <v>0.310742505948897</v>
      </c>
      <c r="BA167" s="0" t="n">
        <v>0.291942505948897</v>
      </c>
      <c r="BC167" s="0" t="n">
        <v>0.178115127168156</v>
      </c>
      <c r="BD167" s="0" t="n">
        <v>0.159315127168156</v>
      </c>
      <c r="BE167" s="0" t="n">
        <v>0.068593023518935</v>
      </c>
      <c r="BF167" s="3" t="n">
        <v>0.029593023518935</v>
      </c>
      <c r="BG167" s="0" t="n">
        <v>0.0316683652952806</v>
      </c>
      <c r="BH167" s="0" t="n">
        <f aca="false">M167/BG167</f>
        <v>0.749446507818174</v>
      </c>
      <c r="BI167" s="0" t="n">
        <v>0.000495137433610594</v>
      </c>
      <c r="BJ167" s="0" t="n">
        <v>0.400053443389457</v>
      </c>
      <c r="BK167" s="0" t="n">
        <v>0.0436399583091373</v>
      </c>
      <c r="BL167" s="0" t="n">
        <v>0.107311252655951</v>
      </c>
      <c r="BM167" s="0" t="n">
        <v>0.088511252655951</v>
      </c>
      <c r="BN167" s="0" t="e">
        <f aca="false">#REF!/#REF!</f>
        <v>#REF!</v>
      </c>
      <c r="BO167" s="20" t="n">
        <v>0.042590314842</v>
      </c>
    </row>
    <row r="168" customFormat="false" ht="12.8" hidden="false" customHeight="false" outlineLevel="0" collapsed="false">
      <c r="A168" s="0" t="s">
        <v>221</v>
      </c>
      <c r="B168" s="0" t="s">
        <v>50</v>
      </c>
      <c r="C168" s="0" t="s">
        <v>59</v>
      </c>
      <c r="D168" s="0" t="s">
        <v>187</v>
      </c>
      <c r="E168" s="0" t="n">
        <v>0.04879</v>
      </c>
      <c r="F168" s="0" t="n">
        <v>0.781525</v>
      </c>
      <c r="G168" s="0" t="n">
        <v>146</v>
      </c>
      <c r="H168" s="0" t="n">
        <v>121</v>
      </c>
      <c r="I168" s="0" t="s">
        <v>55</v>
      </c>
      <c r="J168" s="0" t="n">
        <v>0</v>
      </c>
      <c r="K168" s="0" t="n">
        <v>0.09400293</v>
      </c>
      <c r="L168" s="0" t="n">
        <v>0.00426450973420944</v>
      </c>
      <c r="M168" s="1" t="n">
        <v>0.0344619149193744</v>
      </c>
      <c r="N168" s="0" t="n">
        <v>0.155615681596793</v>
      </c>
      <c r="O168" s="0" t="n">
        <v>0.159281351386217</v>
      </c>
      <c r="P168" s="0" t="n">
        <v>0.120256919766691</v>
      </c>
      <c r="Q168" s="0" t="n">
        <v>0.188302852459129</v>
      </c>
      <c r="R168" s="19" t="n">
        <v>0.0228098239132</v>
      </c>
      <c r="S168" s="19" t="n">
        <v>0.0185453141789906</v>
      </c>
      <c r="T168" s="0" t="n">
        <v>6.88841618890667E-005</v>
      </c>
      <c r="U168" s="19" t="n">
        <v>9.67031886624E-005</v>
      </c>
      <c r="V168" s="19" t="n">
        <v>0.000101744800245667</v>
      </c>
      <c r="Z168" s="1"/>
      <c r="AA168" s="1"/>
      <c r="AB168" s="19"/>
      <c r="AJ168" s="0" t="n">
        <v>100</v>
      </c>
      <c r="AK168" s="0" t="n">
        <v>0.000147566078882</v>
      </c>
      <c r="AL168" s="0" t="n">
        <f aca="false">AK168-0.0000278190267733333</f>
        <v>0.000119747052108667</v>
      </c>
      <c r="AM168" s="0" t="n">
        <v>100</v>
      </c>
      <c r="AN168" s="0" t="n">
        <v>0</v>
      </c>
      <c r="AO168" s="0" t="n">
        <v>6.85171596885167E-005</v>
      </c>
      <c r="AP168" s="0" t="n">
        <v>0.271556994383757</v>
      </c>
      <c r="AQ168" s="0" t="n">
        <v>0.000129563827019</v>
      </c>
      <c r="AR168" s="0" t="n">
        <v>0.000101744800245667</v>
      </c>
      <c r="AS168" s="0" t="n">
        <v>-0.0237886408288735</v>
      </c>
      <c r="AT168" s="0" t="n">
        <v>0.0729696035885571</v>
      </c>
      <c r="AU168" s="3" t="n">
        <v>0.0508748585738955</v>
      </c>
      <c r="AV168" s="0" t="n">
        <v>0.0051218412129708</v>
      </c>
      <c r="AW168" s="0" t="n">
        <v>0.000175097289771167</v>
      </c>
      <c r="AZ168" s="0" t="n">
        <v>0.188456078762476</v>
      </c>
      <c r="BA168" s="0" t="n">
        <v>0.168956078762476</v>
      </c>
      <c r="BC168" s="0" t="n">
        <v>0.139756919766691</v>
      </c>
      <c r="BD168" s="0" t="n">
        <v>0.120256919766691</v>
      </c>
      <c r="BE168" s="0" t="n">
        <v>0.0740074468063493</v>
      </c>
      <c r="BF168" s="3" t="n">
        <v>0.0364074468063493</v>
      </c>
      <c r="BG168" s="0" t="n">
        <v>0.0364685225392893</v>
      </c>
      <c r="BH168" s="0" t="n">
        <f aca="false">M168/BG168</f>
        <v>0.944976997141766</v>
      </c>
      <c r="BI168" s="0" t="n">
        <v>0.119771208247075</v>
      </c>
      <c r="BJ168" s="0" t="n">
        <v>0.575375191492286</v>
      </c>
      <c r="BK168" s="0" t="n">
        <v>0</v>
      </c>
      <c r="BL168" s="0" t="n">
        <v>0</v>
      </c>
      <c r="BM168" s="0" t="n">
        <v>0</v>
      </c>
      <c r="BN168" s="0" t="e">
        <f aca="false">#REF!/#REF!</f>
        <v>#REF!</v>
      </c>
      <c r="BO168" s="20" t="n">
        <v>0.0165847426256</v>
      </c>
    </row>
    <row r="169" customFormat="false" ht="12.8" hidden="false" customHeight="false" outlineLevel="0" collapsed="false">
      <c r="A169" s="0" t="s">
        <v>222</v>
      </c>
      <c r="B169" s="0" t="s">
        <v>50</v>
      </c>
      <c r="C169" s="0" t="s">
        <v>51</v>
      </c>
      <c r="D169" s="0" t="s">
        <v>187</v>
      </c>
      <c r="E169" s="0" t="n">
        <v>0.4097</v>
      </c>
      <c r="F169" s="0" t="n">
        <v>4.12825</v>
      </c>
      <c r="G169" s="0" t="n">
        <v>776</v>
      </c>
      <c r="H169" s="0" t="n">
        <v>724</v>
      </c>
      <c r="I169" s="0" t="s">
        <v>55</v>
      </c>
      <c r="J169" s="0" t="n">
        <v>0.0736983493</v>
      </c>
      <c r="K169" s="0" t="n">
        <v>0.17174</v>
      </c>
      <c r="L169" s="0" t="n">
        <v>0.025603671810567</v>
      </c>
      <c r="M169" s="1" t="n">
        <v>0.0303944957197131</v>
      </c>
      <c r="N169" s="0" t="n">
        <v>0.187862361088555</v>
      </c>
      <c r="O169" s="0" t="n">
        <v>0.433147770928052</v>
      </c>
      <c r="P169" s="0" t="n">
        <v>0.370636046751338</v>
      </c>
      <c r="Q169" s="0" t="n">
        <v>0.300584459619322</v>
      </c>
      <c r="R169" s="19" t="n">
        <v>0.25105337136</v>
      </c>
      <c r="S169" s="19" t="n">
        <v>0.225449699549433</v>
      </c>
      <c r="T169" s="0" t="n">
        <v>8.6442379161E-005</v>
      </c>
      <c r="U169" s="19" t="n">
        <v>0.000117485989161</v>
      </c>
      <c r="V169" s="19" t="n">
        <v>0.0001903405846445</v>
      </c>
      <c r="Z169" s="1"/>
      <c r="AA169" s="1"/>
      <c r="AB169" s="19"/>
      <c r="AJ169" s="0" t="n">
        <v>100</v>
      </c>
      <c r="AK169" s="0" t="n">
        <v>0.000245960875808</v>
      </c>
      <c r="AL169" s="0" t="n">
        <f aca="false">AK169-0.00003104361</f>
        <v>0.000214917265808</v>
      </c>
      <c r="AM169" s="0" t="n">
        <v>100</v>
      </c>
      <c r="AN169" s="0" t="n">
        <v>0</v>
      </c>
      <c r="AO169" s="0" t="n">
        <v>8.5569591161E-005</v>
      </c>
      <c r="AP169" s="0" t="n">
        <v>1.64342398353993</v>
      </c>
      <c r="AQ169" s="0" t="n">
        <v>0.0002213841946445</v>
      </c>
      <c r="AR169" s="0" t="n">
        <v>0.0001903405846445</v>
      </c>
      <c r="AS169" s="0" t="n">
        <v>0.604478547087759</v>
      </c>
      <c r="AT169" s="0" t="n">
        <v>4.71544626840698E-031</v>
      </c>
      <c r="AU169" s="3" t="n">
        <v>0.087682760285705</v>
      </c>
      <c r="AV169" s="0" t="n">
        <v>0.378557143387988</v>
      </c>
      <c r="AW169" s="0" t="n">
        <v>0.000123352462498</v>
      </c>
      <c r="AZ169" s="0" t="n">
        <v>0.114146419731418</v>
      </c>
      <c r="BA169" s="0" t="n">
        <v>0.094646419731418</v>
      </c>
      <c r="BC169" s="0" t="n">
        <v>0.390136046751338</v>
      </c>
      <c r="BD169" s="0" t="n">
        <v>0.370636046751338</v>
      </c>
      <c r="BE169" s="0" t="n">
        <v>0.131015849345795</v>
      </c>
      <c r="BF169" s="3" t="n">
        <v>0.092015849345795</v>
      </c>
      <c r="BG169" s="0" t="n">
        <v>0.0529581106445422</v>
      </c>
      <c r="BH169" s="0" t="n">
        <f aca="false">M169/BG169</f>
        <v>0.573934669303493</v>
      </c>
      <c r="BI169" s="0" t="n">
        <v>3.57459041597583E-045</v>
      </c>
      <c r="BJ169" s="0" t="n">
        <v>0.336289695640087</v>
      </c>
      <c r="BK169" s="0" t="n">
        <v>0.0773293815998252</v>
      </c>
      <c r="BL169" s="0" t="n">
        <v>0.153364429799871</v>
      </c>
      <c r="BM169" s="0" t="n">
        <v>0.133864429799871</v>
      </c>
      <c r="BN169" s="0" t="e">
        <f aca="false">#REF!/#REF!</f>
        <v>#REF!</v>
      </c>
      <c r="BO169" s="20" t="n">
        <v>0.24015182424</v>
      </c>
    </row>
    <row r="170" customFormat="false" ht="12.8" hidden="false" customHeight="false" outlineLevel="0" collapsed="false">
      <c r="A170" s="0" t="s">
        <v>223</v>
      </c>
      <c r="B170" s="0" t="s">
        <v>50</v>
      </c>
      <c r="C170" s="0" t="s">
        <v>51</v>
      </c>
      <c r="D170" s="0" t="s">
        <v>187</v>
      </c>
      <c r="E170" s="0" t="n">
        <v>0.0759675</v>
      </c>
      <c r="F170" s="0" t="n">
        <v>1.132</v>
      </c>
      <c r="G170" s="0" t="n">
        <v>143</v>
      </c>
      <c r="H170" s="0" t="n">
        <v>107</v>
      </c>
      <c r="I170" s="0" t="s">
        <v>53</v>
      </c>
      <c r="J170" s="0" t="n">
        <v>0.0131672118</v>
      </c>
      <c r="K170" s="0" t="n">
        <v>0.039444</v>
      </c>
      <c r="L170" s="0" t="n">
        <v>0.00478385235580845</v>
      </c>
      <c r="M170" s="1" t="n">
        <v>0.0292589995465141</v>
      </c>
      <c r="N170" s="0" t="n">
        <v>0.131516354435085</v>
      </c>
      <c r="O170" s="0" t="n">
        <v>0.188729524443978</v>
      </c>
      <c r="P170" s="0" t="n">
        <v>0.117485424844872</v>
      </c>
      <c r="Q170" s="0" t="n">
        <v>0.142423577058583</v>
      </c>
      <c r="R170" s="19" t="n">
        <v>0.0263411109105</v>
      </c>
      <c r="S170" s="19" t="n">
        <v>0.0215572585546916</v>
      </c>
      <c r="T170" s="0" t="n">
        <v>6.77177534334E-005</v>
      </c>
      <c r="U170" s="19" t="n">
        <v>9.87613634334E-005</v>
      </c>
      <c r="V170" s="19" t="n">
        <v>9.8367540449E-005</v>
      </c>
      <c r="Z170" s="1"/>
      <c r="AA170" s="1"/>
      <c r="AB170" s="19"/>
      <c r="AJ170" s="0" t="n">
        <v>0.473859744548158</v>
      </c>
      <c r="AK170" s="0" t="n">
        <v>0.000129411150449</v>
      </c>
      <c r="AL170" s="0" t="n">
        <f aca="false">AK170-0.00003104361</f>
        <v>9.8367540449E-005</v>
      </c>
      <c r="AM170" s="0" t="n">
        <v>0.373087929056417</v>
      </c>
      <c r="AN170" s="0" t="n">
        <v>0.0056692621064996</v>
      </c>
      <c r="AO170" s="0" t="n">
        <v>6.77177534334E-005</v>
      </c>
      <c r="AP170" s="0" t="n">
        <v>0.473859744548158</v>
      </c>
      <c r="AQ170" s="0" t="n">
        <v>0.000129411150449</v>
      </c>
      <c r="AR170" s="0" t="n">
        <v>9.8367540449E-005</v>
      </c>
      <c r="AS170" s="0" t="n">
        <v>0.373087929056417</v>
      </c>
      <c r="AT170" s="0" t="n">
        <v>0.0113385242129992</v>
      </c>
      <c r="AU170" s="3" t="n">
        <v>0.0301473727365554</v>
      </c>
      <c r="AV170" s="0" t="n">
        <v>0.167858432796633</v>
      </c>
      <c r="AW170" s="0" t="n">
        <v>0.0002120953280885</v>
      </c>
      <c r="AZ170" s="0" t="n">
        <v>0.24959074574954</v>
      </c>
      <c r="BA170" s="0" t="n">
        <v>0.23009074574954</v>
      </c>
      <c r="BC170" s="0" t="n">
        <v>0.136985424844872</v>
      </c>
      <c r="BD170" s="0" t="n">
        <v>0.117485424844872</v>
      </c>
      <c r="BE170" s="0" t="n">
        <v>0.0666629297414842</v>
      </c>
      <c r="BF170" s="3" t="n">
        <v>0.0276629297414842</v>
      </c>
      <c r="BG170" s="0" t="n">
        <v>0.0417363757933505</v>
      </c>
      <c r="BH170" s="0" t="n">
        <f aca="false">M170/BG170</f>
        <v>0.701043130610677</v>
      </c>
      <c r="BI170" s="0" t="n">
        <v>0.00445699761070716</v>
      </c>
      <c r="BJ170" s="0" t="n">
        <v>0.535867774535163</v>
      </c>
      <c r="BK170" s="0" t="n">
        <v>0.0546894370681892</v>
      </c>
      <c r="BL170" s="0" t="n">
        <v>0.0993573389915821</v>
      </c>
      <c r="BM170" s="0" t="n">
        <v>0.0798573389915821</v>
      </c>
      <c r="BN170" s="0" t="e">
        <f aca="false">#REF!/#REF!</f>
        <v>#REF!</v>
      </c>
      <c r="BO170" s="20" t="n">
        <v>0.020111673961</v>
      </c>
    </row>
    <row r="171" customFormat="false" ht="12.8" hidden="false" customHeight="false" outlineLevel="0" collapsed="false">
      <c r="A171" s="0" t="s">
        <v>224</v>
      </c>
      <c r="B171" s="0" t="s">
        <v>50</v>
      </c>
      <c r="C171" s="0" t="s">
        <v>51</v>
      </c>
      <c r="D171" s="0" t="s">
        <v>187</v>
      </c>
      <c r="E171" s="0" t="n">
        <v>0.36235</v>
      </c>
      <c r="F171" s="0" t="n">
        <v>3.37675</v>
      </c>
      <c r="G171" s="0" t="n">
        <v>901</v>
      </c>
      <c r="H171" s="0" t="n">
        <v>840</v>
      </c>
      <c r="I171" s="0" t="s">
        <v>55</v>
      </c>
      <c r="J171" s="0" t="n">
        <v>0.0534145273</v>
      </c>
      <c r="K171" s="0" t="n">
        <v>0.1567854</v>
      </c>
      <c r="L171" s="0" t="n">
        <v>0.0292515426077706</v>
      </c>
      <c r="M171" s="1" t="n">
        <v>0.0293366777417288</v>
      </c>
      <c r="N171" s="0" t="n">
        <v>0.237260458274737</v>
      </c>
      <c r="O171" s="0" t="n">
        <v>0.309340547384772</v>
      </c>
      <c r="P171" s="0" t="n">
        <v>0.253045281157253</v>
      </c>
      <c r="Q171" s="0" t="n">
        <v>0.34793013596194</v>
      </c>
      <c r="R171" s="19" t="n">
        <v>0.22097204975</v>
      </c>
      <c r="S171" s="19" t="n">
        <v>0.191720507142229</v>
      </c>
      <c r="T171" s="0" t="n">
        <v>0.000106578164056</v>
      </c>
      <c r="U171" s="19" t="n">
        <v>0.000137621774056</v>
      </c>
      <c r="V171" s="19" t="n">
        <v>0.000158916868404</v>
      </c>
      <c r="Z171" s="1"/>
      <c r="AA171" s="1"/>
      <c r="AB171" s="19"/>
      <c r="AJ171" s="0" t="n">
        <v>1.89442875238388</v>
      </c>
      <c r="AK171" s="0" t="n">
        <v>0.000199650620119</v>
      </c>
      <c r="AL171" s="0" t="n">
        <f aca="false">AK171-0.00003104361</f>
        <v>0.000168607010119</v>
      </c>
      <c r="AM171" s="0" t="n">
        <v>0.770997992246765</v>
      </c>
      <c r="AN171" s="0" t="n">
        <v>3.45883316250049E-033</v>
      </c>
      <c r="AO171" s="0" t="n">
        <v>0.0001058772133105</v>
      </c>
      <c r="AP171" s="0" t="n">
        <v>1.78794913945003</v>
      </c>
      <c r="AQ171" s="0" t="n">
        <v>0.000189960478404</v>
      </c>
      <c r="AR171" s="0" t="n">
        <v>0.000158916868404</v>
      </c>
      <c r="AS171" s="0" t="n">
        <v>0.655965203385966</v>
      </c>
      <c r="AT171" s="0" t="n">
        <v>5.94905469662891E-023</v>
      </c>
      <c r="AU171" s="3" t="n">
        <v>0.094456434194888</v>
      </c>
      <c r="AV171" s="0" t="n">
        <v>0.0201260488072395</v>
      </c>
      <c r="AW171" s="0" t="n">
        <v>0.000214851771324</v>
      </c>
      <c r="AZ171" s="0" t="n">
        <v>0.134129606203476</v>
      </c>
      <c r="BA171" s="0" t="n">
        <v>0.114629606203476</v>
      </c>
      <c r="BC171" s="0" t="n">
        <v>0.272545281157253</v>
      </c>
      <c r="BD171" s="0" t="n">
        <v>0.253045281157253</v>
      </c>
      <c r="BE171" s="0" t="n">
        <v>0.138969053577429</v>
      </c>
      <c r="BF171" s="3" t="n">
        <v>0.099969053577429</v>
      </c>
      <c r="BG171" s="0" t="n">
        <v>0.0404438353037496</v>
      </c>
      <c r="BH171" s="0" t="n">
        <f aca="false">M171/BG171</f>
        <v>0.725368341587746</v>
      </c>
      <c r="BI171" s="0" t="n">
        <v>2.26733692005486E-028</v>
      </c>
      <c r="BJ171" s="0" t="n">
        <v>0.516924916647872</v>
      </c>
      <c r="BK171" s="0" t="n">
        <v>0.0797271487927336</v>
      </c>
      <c r="BL171" s="0" t="n">
        <v>0.192411218163423</v>
      </c>
      <c r="BM171" s="0" t="n">
        <v>0.172911218163423</v>
      </c>
      <c r="BN171" s="0" t="e">
        <f aca="false">#REF!/#REF!</f>
        <v>#REF!</v>
      </c>
      <c r="BO171" s="20" t="n">
        <v>0.207108508015</v>
      </c>
    </row>
    <row r="172" customFormat="false" ht="12.8" hidden="false" customHeight="false" outlineLevel="0" collapsed="false">
      <c r="A172" s="0" t="s">
        <v>225</v>
      </c>
      <c r="B172" s="0" t="s">
        <v>50</v>
      </c>
      <c r="C172" s="21" t="s">
        <v>51</v>
      </c>
      <c r="D172" s="0" t="s">
        <v>187</v>
      </c>
      <c r="E172" s="0" t="n">
        <v>0.230175</v>
      </c>
      <c r="F172" s="0" t="n">
        <v>2.31875</v>
      </c>
      <c r="G172" s="0" t="n">
        <v>539</v>
      </c>
      <c r="H172" s="0" t="n">
        <v>483</v>
      </c>
      <c r="I172" s="0" t="s">
        <v>55</v>
      </c>
      <c r="J172" s="0" t="n">
        <v>0.0419552774</v>
      </c>
      <c r="K172" s="0" t="n">
        <v>0.1195124</v>
      </c>
      <c r="L172" s="0" t="n">
        <v>0.0175366200255722</v>
      </c>
      <c r="M172" s="1" t="n">
        <v>0.0280430539422549</v>
      </c>
      <c r="N172" s="0" t="n">
        <v>0.208058123328003</v>
      </c>
      <c r="O172" s="0" t="n">
        <v>0.274033652151351</v>
      </c>
      <c r="P172" s="0" t="n">
        <v>0.206340832341839</v>
      </c>
      <c r="Q172" s="0" t="n">
        <v>0.287683051972241</v>
      </c>
      <c r="R172" s="19" t="n">
        <v>0.126734769685</v>
      </c>
      <c r="S172" s="19" t="n">
        <v>0.109198149659428</v>
      </c>
      <c r="T172" s="0" t="n">
        <v>9.2725991073E-005</v>
      </c>
      <c r="U172" s="19" t="n">
        <v>0.000123769601073</v>
      </c>
      <c r="V172" s="19" t="n">
        <v>0.000144094352696</v>
      </c>
      <c r="Z172" s="1"/>
      <c r="AA172" s="1"/>
      <c r="AB172" s="19"/>
      <c r="AJ172" s="0" t="n">
        <v>2.46044469629527</v>
      </c>
      <c r="AK172" s="0" t="n">
        <v>0.000188030619643</v>
      </c>
      <c r="AL172" s="0" t="n">
        <f aca="false">AK172-0.00003104361</f>
        <v>0.000156987009643</v>
      </c>
      <c r="AM172" s="0" t="n">
        <v>0.564926069071715</v>
      </c>
      <c r="AN172" s="0" t="n">
        <v>6.75377786268719E-018</v>
      </c>
      <c r="AO172" s="0" t="n">
        <v>9.2258435019E-005</v>
      </c>
      <c r="AP172" s="0" t="n">
        <v>1.72204379956562</v>
      </c>
      <c r="AQ172" s="0" t="n">
        <v>0.000175137962696</v>
      </c>
      <c r="AR172" s="0" t="n">
        <v>0.000144094352696</v>
      </c>
      <c r="AS172" s="0" t="n">
        <v>0.560015913064824</v>
      </c>
      <c r="AT172" s="0" t="n">
        <v>2.72087E-013</v>
      </c>
      <c r="AU172" s="3" t="n">
        <v>0.079068261455616</v>
      </c>
      <c r="AV172" s="0" t="n">
        <v>0.418951852393474</v>
      </c>
      <c r="AW172" s="0" t="n">
        <v>0.000189235640724</v>
      </c>
      <c r="AZ172" s="0" t="n">
        <v>0.140018526076351</v>
      </c>
      <c r="BA172" s="0" t="n">
        <v>0.121218526076351</v>
      </c>
      <c r="BC172" s="0" t="n">
        <v>0.225140832341839</v>
      </c>
      <c r="BD172" s="0" t="n">
        <v>0.206340832341839</v>
      </c>
      <c r="BE172" s="0" t="n">
        <v>0.11595615417418</v>
      </c>
      <c r="BF172" s="3" t="n">
        <v>0.07695615417418</v>
      </c>
      <c r="BG172" s="0" t="n">
        <v>0.0408401634511046</v>
      </c>
      <c r="BH172" s="0" t="n">
        <f aca="false">M172/BG172</f>
        <v>0.686653812632976</v>
      </c>
      <c r="BI172" s="0" t="n">
        <v>1.06440906638692E-017</v>
      </c>
      <c r="BJ172" s="0" t="n">
        <v>0.529933742806644</v>
      </c>
      <c r="BK172" s="0" t="n">
        <v>0.0753290086822977</v>
      </c>
      <c r="BL172" s="0" t="n">
        <v>0.120656163995386</v>
      </c>
      <c r="BM172" s="0" t="n">
        <v>0.101856163995386</v>
      </c>
      <c r="BN172" s="0" t="e">
        <f aca="false">#REF!/#REF!</f>
        <v>#REF!</v>
      </c>
      <c r="BO172" s="20" t="n">
        <v>0.11648541697</v>
      </c>
    </row>
    <row r="173" customFormat="false" ht="12.8" hidden="false" customHeight="false" outlineLevel="0" collapsed="false">
      <c r="A173" s="0" t="s">
        <v>226</v>
      </c>
      <c r="B173" s="0" t="s">
        <v>50</v>
      </c>
      <c r="C173" s="21" t="s">
        <v>59</v>
      </c>
      <c r="D173" s="0" t="s">
        <v>187</v>
      </c>
      <c r="E173" s="0" t="n">
        <v>0.0728875</v>
      </c>
      <c r="F173" s="0" t="n">
        <v>0.944275</v>
      </c>
      <c r="G173" s="0" t="n">
        <v>152</v>
      </c>
      <c r="H173" s="0" t="n">
        <v>113</v>
      </c>
      <c r="I173" s="0" t="s">
        <v>53</v>
      </c>
      <c r="J173" s="0" t="n">
        <v>0</v>
      </c>
      <c r="K173" s="0" t="n">
        <v>0.027864</v>
      </c>
      <c r="L173" s="0" t="n">
        <v>0.00443712464029538</v>
      </c>
      <c r="M173" s="1" t="n">
        <v>0.0367424788499706</v>
      </c>
      <c r="N173" s="0" t="n">
        <v>0.22645596253302</v>
      </c>
      <c r="O173" s="0" t="n">
        <v>0.150398279680542</v>
      </c>
      <c r="P173" s="0" t="n">
        <v>0.121152856170964</v>
      </c>
      <c r="Q173" s="0" t="n">
        <v>0.231852252001856</v>
      </c>
      <c r="R173" s="19" t="n">
        <v>0.0327181987364</v>
      </c>
      <c r="S173" s="19" t="n">
        <v>0.0282810740961046</v>
      </c>
      <c r="T173" s="0" t="n">
        <v>0.000103801748016667</v>
      </c>
      <c r="U173" s="19" t="n">
        <v>0.00013162077479</v>
      </c>
      <c r="V173" s="19" t="n">
        <v>0.000149483416662167</v>
      </c>
      <c r="Z173" s="1"/>
      <c r="AA173" s="1"/>
      <c r="AB173" s="19"/>
      <c r="AJ173" s="0" t="n">
        <v>1.13542699665567</v>
      </c>
      <c r="AK173" s="0" t="n">
        <v>0.0001773024434355</v>
      </c>
      <c r="AL173" s="0" t="n">
        <f aca="false">AK173-0.0000278190267733333</f>
        <v>0.000149483416662167</v>
      </c>
      <c r="AM173" s="0" t="n">
        <v>0.194123247109551</v>
      </c>
      <c r="AN173" s="0" t="n">
        <v>0.000261114097397929</v>
      </c>
      <c r="AO173" s="0" t="n">
        <v>0.000103801748016667</v>
      </c>
      <c r="AP173" s="0" t="n">
        <v>1.13542699665567</v>
      </c>
      <c r="AQ173" s="0" t="n">
        <v>0.0001773024434355</v>
      </c>
      <c r="AR173" s="0" t="n">
        <v>0.000149483416662167</v>
      </c>
      <c r="AS173" s="0" t="n">
        <v>0.194123247109551</v>
      </c>
      <c r="AT173" s="0" t="n">
        <v>0.000522228194795858</v>
      </c>
      <c r="AU173" s="3" t="n">
        <v>0.0373615089319567</v>
      </c>
      <c r="AV173" s="0" t="n">
        <v>0.133734805837834</v>
      </c>
      <c r="AW173" s="0" t="n">
        <v>0.000156939028758167</v>
      </c>
      <c r="AZ173" s="0" t="n">
        <v>0.239659910251722</v>
      </c>
      <c r="BA173" s="0" t="n">
        <v>0.220859910251722</v>
      </c>
      <c r="BC173" s="0" t="n">
        <v>0.139952856170964</v>
      </c>
      <c r="BD173" s="0" t="n">
        <v>0.121152856170964</v>
      </c>
      <c r="BE173" s="0" t="n">
        <v>0.0735090413608657</v>
      </c>
      <c r="BF173" s="3" t="n">
        <v>0.0359090413608657</v>
      </c>
      <c r="BG173" s="0" t="n">
        <v>0.0432412790563715</v>
      </c>
      <c r="BH173" s="0" t="n">
        <f aca="false">M173/BG173</f>
        <v>0.849708418709615</v>
      </c>
      <c r="BI173" s="0" t="n">
        <v>0.00599055870842422</v>
      </c>
      <c r="BJ173" s="0" t="n">
        <v>0.568026732449071</v>
      </c>
      <c r="BK173" s="0" t="n">
        <v>0</v>
      </c>
      <c r="BL173" s="0" t="n">
        <v>0</v>
      </c>
      <c r="BM173" s="0" t="n">
        <v>0</v>
      </c>
      <c r="BN173" s="0" t="e">
        <f aca="false">#REF!/#REF!</f>
        <v>#REF!</v>
      </c>
      <c r="BO173" s="20" t="n">
        <v>0.0266888085752</v>
      </c>
    </row>
    <row r="174" customFormat="false" ht="12.8" hidden="false" customHeight="false" outlineLevel="0" collapsed="false">
      <c r="A174" s="0" t="s">
        <v>227</v>
      </c>
      <c r="B174" s="0" t="s">
        <v>50</v>
      </c>
      <c r="C174" s="0" t="s">
        <v>59</v>
      </c>
      <c r="D174" s="0" t="s">
        <v>187</v>
      </c>
      <c r="E174" s="0" t="n">
        <v>0.154175</v>
      </c>
      <c r="F174" s="0" t="n">
        <v>1.75175</v>
      </c>
      <c r="G174" s="0" t="n">
        <v>429</v>
      </c>
      <c r="H174" s="0" t="n">
        <v>372</v>
      </c>
      <c r="I174" s="0" t="s">
        <v>55</v>
      </c>
      <c r="J174" s="0" t="n">
        <v>0</v>
      </c>
      <c r="K174" s="0" t="n">
        <v>0.0699706</v>
      </c>
      <c r="L174" s="0" t="n">
        <v>0.0124081241598463</v>
      </c>
      <c r="M174" s="1" t="n">
        <v>0.0293613866521623</v>
      </c>
      <c r="N174" s="0" t="n">
        <v>0.248550313215574</v>
      </c>
      <c r="O174" s="0" t="n">
        <v>0.208704289743857</v>
      </c>
      <c r="P174" s="0" t="n">
        <v>0.16715871182253</v>
      </c>
      <c r="Q174" s="0" t="n">
        <v>0.308558258689364</v>
      </c>
      <c r="R174" s="19" t="n">
        <v>0.082139253686</v>
      </c>
      <c r="S174" s="19" t="n">
        <v>0.0697311295261537</v>
      </c>
      <c r="T174" s="0" t="n">
        <v>9.22820177401667E-005</v>
      </c>
      <c r="U174" s="19" t="n">
        <v>0.0001201010445135</v>
      </c>
      <c r="V174" s="19" t="n">
        <v>0.000130336745260167</v>
      </c>
      <c r="Z174" s="1"/>
      <c r="AA174" s="1"/>
      <c r="AB174" s="19"/>
      <c r="AJ174" s="0" t="n">
        <v>1.91794850277527</v>
      </c>
      <c r="AK174" s="0" t="n">
        <v>0.0001581557720335</v>
      </c>
      <c r="AL174" s="0" t="n">
        <f aca="false">AK174-0.0000278190267733333</f>
        <v>0.000130336745260167</v>
      </c>
      <c r="AM174" s="0" t="n">
        <v>0.936273678472481</v>
      </c>
      <c r="AN174" s="0" t="n">
        <v>2.71796579436E-009</v>
      </c>
      <c r="AO174" s="0" t="n">
        <v>9.22820177401667E-005</v>
      </c>
      <c r="AP174" s="0" t="n">
        <v>1.91794850277527</v>
      </c>
      <c r="AQ174" s="0" t="n">
        <v>0.0001581557720335</v>
      </c>
      <c r="AR174" s="0" t="n">
        <v>0.000130336745260167</v>
      </c>
      <c r="AS174" s="0" t="n">
        <v>0.936273678472481</v>
      </c>
      <c r="AT174" s="0" t="n">
        <v>5.43593158872E-009</v>
      </c>
      <c r="AU174" s="3" t="n">
        <v>0.0509506060758723</v>
      </c>
      <c r="AV174" s="0" t="n">
        <v>0.000192341314226204</v>
      </c>
      <c r="AW174" s="0" t="n">
        <v>0.000194928936049167</v>
      </c>
      <c r="AZ174" s="0" t="n">
        <v>0.21426662647959</v>
      </c>
      <c r="BA174" s="0" t="n">
        <v>0.19476662647959</v>
      </c>
      <c r="BC174" s="0" t="n">
        <v>0.18665871182253</v>
      </c>
      <c r="BD174" s="0" t="n">
        <v>0.16715871182253</v>
      </c>
      <c r="BE174" s="0" t="n">
        <v>0.0988170491747939</v>
      </c>
      <c r="BF174" s="3" t="n">
        <v>0.0612170491747939</v>
      </c>
      <c r="BG174" s="0" t="n">
        <v>0.038252403228318</v>
      </c>
      <c r="BH174" s="0" t="n">
        <f aca="false">M174/BG174</f>
        <v>0.767569725669582</v>
      </c>
      <c r="BI174" s="0" t="n">
        <v>1.2592326911217E-006</v>
      </c>
      <c r="BJ174" s="0" t="n">
        <v>0.561245402393037</v>
      </c>
      <c r="BK174" s="0" t="n">
        <v>0</v>
      </c>
      <c r="BL174" s="0" t="n">
        <v>0</v>
      </c>
      <c r="BM174" s="0" t="n">
        <v>0</v>
      </c>
      <c r="BN174" s="0" t="e">
        <f aca="false">#REF!/#REF!</f>
        <v>#REF!</v>
      </c>
      <c r="BO174" s="20" t="n">
        <v>0.07349322999</v>
      </c>
    </row>
    <row r="175" customFormat="false" ht="12.8" hidden="false" customHeight="false" outlineLevel="0" collapsed="false">
      <c r="A175" s="0" t="s">
        <v>228</v>
      </c>
      <c r="B175" s="0" t="s">
        <v>50</v>
      </c>
      <c r="C175" s="0" t="s">
        <v>51</v>
      </c>
      <c r="D175" s="0" t="s">
        <v>187</v>
      </c>
      <c r="E175" s="0" t="n">
        <v>0.49225</v>
      </c>
      <c r="F175" s="0" t="n">
        <v>3.6375</v>
      </c>
      <c r="G175" s="0" t="n">
        <v>1146</v>
      </c>
      <c r="H175" s="0" t="n">
        <v>1075</v>
      </c>
      <c r="I175" s="0" t="s">
        <v>53</v>
      </c>
      <c r="J175" s="0" t="n">
        <v>0.0757852811</v>
      </c>
      <c r="K175" s="0" t="n">
        <v>0.308962</v>
      </c>
      <c r="L175" s="0" t="n">
        <v>0.0372218634228573</v>
      </c>
      <c r="M175" s="1" t="n">
        <v>0.0240544785874659</v>
      </c>
      <c r="N175" s="0" t="n">
        <v>0.318965436233887</v>
      </c>
      <c r="O175" s="0" t="n">
        <v>0.292374768160056</v>
      </c>
      <c r="P175" s="0" t="n">
        <v>0.251133771818793</v>
      </c>
      <c r="Q175" s="0" t="n">
        <v>0.334216056275698</v>
      </c>
      <c r="R175" s="19" t="n">
        <v>0.261162877365</v>
      </c>
      <c r="S175" s="19" t="n">
        <v>0.223941013942143</v>
      </c>
      <c r="T175" s="0" t="n">
        <v>7.9925159596E-005</v>
      </c>
      <c r="U175" s="19" t="n">
        <v>0.000110968769596</v>
      </c>
      <c r="V175" s="19" t="n">
        <v>0.0001473551590165</v>
      </c>
      <c r="Z175" s="1"/>
      <c r="AA175" s="1"/>
      <c r="AB175" s="19"/>
      <c r="AJ175" s="0" t="n">
        <v>4.70383642965268</v>
      </c>
      <c r="AK175" s="0" t="n">
        <v>0.0001783987690165</v>
      </c>
      <c r="AL175" s="0" t="n">
        <f aca="false">AK175-0.00003104361</f>
        <v>0.0001473551590165</v>
      </c>
      <c r="AM175" s="0" t="n">
        <v>0.639376026295579</v>
      </c>
      <c r="AN175" s="0" t="n">
        <v>4.20887345448432E-058</v>
      </c>
      <c r="AO175" s="0" t="n">
        <v>7.98976188415E-005</v>
      </c>
      <c r="AP175" s="0" t="n">
        <v>4.74632806461971</v>
      </c>
      <c r="AQ175" s="0" t="n">
        <v>0.0001783987690165</v>
      </c>
      <c r="AR175" s="0" t="n">
        <v>0.0001473551590165</v>
      </c>
      <c r="AS175" s="0" t="n">
        <v>0.63688775959776</v>
      </c>
      <c r="AT175" s="0" t="n">
        <v>1.02997703914572E-057</v>
      </c>
      <c r="AU175" s="3" t="n">
        <v>0.086715393773559</v>
      </c>
      <c r="AV175" s="0" t="n">
        <v>3.3705401589311E-007</v>
      </c>
      <c r="AW175" s="0" t="n">
        <v>0.0001660119685625</v>
      </c>
      <c r="AZ175" s="0" t="n">
        <v>0.380339663093249</v>
      </c>
      <c r="BA175" s="0" t="n">
        <v>0.360839663093249</v>
      </c>
      <c r="BC175" s="0" t="n">
        <v>0.270633771818793</v>
      </c>
      <c r="BD175" s="0" t="n">
        <v>0.251133771818793</v>
      </c>
      <c r="BE175" s="0" t="n">
        <v>0.142921805245704</v>
      </c>
      <c r="BF175" s="3" t="n">
        <v>0.103921805245704</v>
      </c>
      <c r="BG175" s="0" t="n">
        <v>0.0386545137227797</v>
      </c>
      <c r="BH175" s="0" t="n">
        <f aca="false">M175/BG175</f>
        <v>0.622294171386516</v>
      </c>
      <c r="BI175" s="0" t="n">
        <v>4.08287909535649E-051</v>
      </c>
      <c r="BJ175" s="0" t="n">
        <v>0.546418855688082</v>
      </c>
      <c r="BK175" s="0" t="n">
        <v>0.195921224067467</v>
      </c>
      <c r="BL175" s="0" t="n">
        <v>0.179320958549327</v>
      </c>
      <c r="BM175" s="0" t="n">
        <v>0.159820958549327</v>
      </c>
      <c r="BN175" s="0" t="e">
        <f aca="false">#REF!/#REF!</f>
        <v>#REF!</v>
      </c>
      <c r="BO175" s="20" t="n">
        <v>0.24668700212</v>
      </c>
    </row>
    <row r="176" customFormat="false" ht="12.8" hidden="false" customHeight="false" outlineLevel="0" collapsed="false">
      <c r="A176" s="0" t="s">
        <v>229</v>
      </c>
      <c r="B176" s="0" t="s">
        <v>50</v>
      </c>
      <c r="C176" s="0" t="s">
        <v>51</v>
      </c>
      <c r="D176" s="0" t="s">
        <v>187</v>
      </c>
      <c r="E176" s="0" t="n">
        <v>0.214825</v>
      </c>
      <c r="F176" s="0" t="n">
        <v>2.31575</v>
      </c>
      <c r="G176" s="0" t="n">
        <v>535</v>
      </c>
      <c r="H176" s="0" t="n">
        <v>480</v>
      </c>
      <c r="I176" s="0" t="s">
        <v>53</v>
      </c>
      <c r="J176" s="0" t="n">
        <v>0.0231303517</v>
      </c>
      <c r="K176" s="0" t="n">
        <v>0.043479</v>
      </c>
      <c r="L176" s="0" t="n">
        <v>0.0174063962545546</v>
      </c>
      <c r="M176" s="1" t="n">
        <v>0.0243114920802031</v>
      </c>
      <c r="N176" s="0" t="n">
        <v>0.254238558145488</v>
      </c>
      <c r="O176" s="0" t="n">
        <v>0.209400513517681</v>
      </c>
      <c r="P176" s="0" t="n">
        <v>0.176763703974832</v>
      </c>
      <c r="Q176" s="0" t="n">
        <v>0.251583750696924</v>
      </c>
      <c r="R176" s="19" t="n">
        <v>0.09986670889</v>
      </c>
      <c r="S176" s="19" t="n">
        <v>0.0824603126354454</v>
      </c>
      <c r="T176" s="0" t="n">
        <v>7.6353555646E-005</v>
      </c>
      <c r="U176" s="19" t="n">
        <v>0.000107397165646</v>
      </c>
      <c r="V176" s="19" t="n">
        <v>0.0001160495342285</v>
      </c>
      <c r="Z176" s="1"/>
      <c r="AA176" s="1"/>
      <c r="AB176" s="19"/>
      <c r="AJ176" s="0" t="n">
        <v>1.88653714385287</v>
      </c>
      <c r="AK176" s="0" t="n">
        <v>0.0001481522361765</v>
      </c>
      <c r="AL176" s="0" t="n">
        <f aca="false">AK176-0.00003104361</f>
        <v>0.0001171086261765</v>
      </c>
      <c r="AM176" s="0" t="n">
        <v>0.7961689641146</v>
      </c>
      <c r="AN176" s="0" t="n">
        <v>9.4031429E-013</v>
      </c>
      <c r="AO176" s="0" t="n">
        <v>7.6022733014E-005</v>
      </c>
      <c r="AP176" s="0" t="n">
        <v>1.99679936105772</v>
      </c>
      <c r="AQ176" s="0" t="n">
        <v>0.0001470931442285</v>
      </c>
      <c r="AR176" s="0" t="n">
        <v>0.0001160495342285</v>
      </c>
      <c r="AS176" s="0" t="n">
        <v>0.833605777431907</v>
      </c>
      <c r="AT176" s="0" t="n">
        <v>3.03761382E-012</v>
      </c>
      <c r="AU176" s="3" t="n">
        <v>0.061971387863027</v>
      </c>
      <c r="AV176" s="0" t="n">
        <v>0.00668280271844546</v>
      </c>
      <c r="AW176" s="0" t="n">
        <v>0.000213807058294</v>
      </c>
      <c r="AZ176" s="0" t="n">
        <v>0.366319097872136</v>
      </c>
      <c r="BA176" s="0" t="n">
        <v>0.346819097872136</v>
      </c>
      <c r="BC176" s="0" t="n">
        <v>0.196263703974832</v>
      </c>
      <c r="BD176" s="0" t="n">
        <v>0.176763703974832</v>
      </c>
      <c r="BE176" s="0" t="n">
        <v>0.109045554824835</v>
      </c>
      <c r="BF176" s="3" t="n">
        <v>0.070045554824835</v>
      </c>
      <c r="BG176" s="0" t="n">
        <v>0.0334756231597035</v>
      </c>
      <c r="BH176" s="0" t="n">
        <f aca="false">M176/BG176</f>
        <v>0.726244645670053</v>
      </c>
      <c r="BI176" s="0" t="n">
        <v>5.0321706E-013</v>
      </c>
      <c r="BJ176" s="0" t="n">
        <v>0.580850099405254</v>
      </c>
      <c r="BK176" s="0" t="n">
        <v>0.193289866607232</v>
      </c>
      <c r="BL176" s="0" t="n">
        <v>0.206466450803454</v>
      </c>
      <c r="BM176" s="0" t="n">
        <v>0.186966450803454</v>
      </c>
      <c r="BN176" s="0" t="e">
        <f aca="false">#REF!/#REF!</f>
        <v>#REF!</v>
      </c>
      <c r="BO176" s="20" t="n">
        <v>0.0889075152155</v>
      </c>
    </row>
    <row r="177" customFormat="false" ht="12.8" hidden="false" customHeight="false" outlineLevel="0" collapsed="false">
      <c r="A177" s="0" t="s">
        <v>230</v>
      </c>
      <c r="B177" s="0" t="s">
        <v>50</v>
      </c>
      <c r="C177" s="0" t="s">
        <v>51</v>
      </c>
      <c r="D177" s="0" t="s">
        <v>187</v>
      </c>
      <c r="E177" s="0" t="n">
        <v>0.244975</v>
      </c>
      <c r="F177" s="0" t="n">
        <v>2.8675</v>
      </c>
      <c r="G177" s="0" t="n">
        <v>467</v>
      </c>
      <c r="H177" s="0" t="n">
        <v>418</v>
      </c>
      <c r="I177" s="0" t="s">
        <v>53</v>
      </c>
      <c r="J177" s="0" t="n">
        <v>0.0336782411</v>
      </c>
      <c r="K177" s="0" t="n">
        <v>0.0355962</v>
      </c>
      <c r="L177" s="0" t="n">
        <v>0.0151952004201451</v>
      </c>
      <c r="M177" s="1" t="n">
        <v>0.030443710146319</v>
      </c>
      <c r="N177" s="0" t="n">
        <v>0.333259230088102</v>
      </c>
      <c r="O177" s="0" t="n">
        <v>0.235429728014466</v>
      </c>
      <c r="P177" s="0" t="n">
        <v>0.1856126004692</v>
      </c>
      <c r="Q177" s="0" t="n">
        <v>0.311769962778728</v>
      </c>
      <c r="R177" s="19" t="n">
        <v>0.10335206752</v>
      </c>
      <c r="S177" s="19" t="n">
        <v>0.0881568670998549</v>
      </c>
      <c r="T177" s="0" t="n">
        <v>0.0001064840329455</v>
      </c>
      <c r="U177" s="19" t="n">
        <v>0.0001375276429455</v>
      </c>
      <c r="V177" s="19" t="n">
        <v>0.0001363959304415</v>
      </c>
      <c r="Z177" s="1"/>
      <c r="AA177" s="1"/>
      <c r="AB177" s="19"/>
      <c r="AJ177" s="0" t="n">
        <v>1.85139009312757</v>
      </c>
      <c r="AK177" s="0" t="n">
        <v>0.0001674395404415</v>
      </c>
      <c r="AL177" s="0" t="n">
        <f aca="false">AK177-0.00003104361</f>
        <v>0.0001363959304415</v>
      </c>
      <c r="AM177" s="0" t="n">
        <v>0.707192784743793</v>
      </c>
      <c r="AN177" s="0" t="n">
        <v>3.31947093571666E-005</v>
      </c>
      <c r="AO177" s="0" t="n">
        <v>0.000106156823722</v>
      </c>
      <c r="AP177" s="0" t="n">
        <v>1.86206290324636</v>
      </c>
      <c r="AQ177" s="0" t="n">
        <v>0.0001674395404415</v>
      </c>
      <c r="AR177" s="0" t="n">
        <v>0.0001363959304415</v>
      </c>
      <c r="AS177" s="0" t="n">
        <v>0.707038453216691</v>
      </c>
      <c r="AT177" s="0" t="n">
        <v>4.10527461952059E-005</v>
      </c>
      <c r="AU177" s="3" t="n">
        <v>0.061806482207623</v>
      </c>
      <c r="AV177" s="0" t="n">
        <v>0.153953097114071</v>
      </c>
      <c r="AW177" s="0" t="n">
        <v>0.000225496029101</v>
      </c>
      <c r="AZ177" s="0" t="n">
        <v>0.448950393567518</v>
      </c>
      <c r="BA177" s="0" t="n">
        <v>0.429450393567518</v>
      </c>
      <c r="BC177" s="0" t="n">
        <v>0.2051126004692</v>
      </c>
      <c r="BD177" s="0" t="n">
        <v>0.1856126004692</v>
      </c>
      <c r="BE177" s="0" t="n">
        <v>0.102912749153784</v>
      </c>
      <c r="BF177" s="3" t="n">
        <v>0.063912749153784</v>
      </c>
      <c r="BG177" s="0" t="n">
        <v>0.0367682025232639</v>
      </c>
      <c r="BH177" s="0" t="n">
        <f aca="false">M177/BG177</f>
        <v>0.827990166967143</v>
      </c>
      <c r="BI177" s="0" t="n">
        <v>1.60844891823628E-006</v>
      </c>
      <c r="BJ177" s="0" t="n">
        <v>0.489111632728154</v>
      </c>
      <c r="BK177" s="0" t="n">
        <v>0.304070120500412</v>
      </c>
      <c r="BL177" s="0" t="n">
        <v>0.32870650962967</v>
      </c>
      <c r="BM177" s="0" t="n">
        <v>0.30920650962967</v>
      </c>
      <c r="BN177" s="0" t="e">
        <f aca="false">#REF!/#REF!</f>
        <v>#REF!</v>
      </c>
      <c r="BO177" s="20" t="n">
        <v>0.089606167535</v>
      </c>
    </row>
    <row r="178" customFormat="false" ht="12.8" hidden="false" customHeight="false" outlineLevel="0" collapsed="false">
      <c r="A178" s="0" t="s">
        <v>231</v>
      </c>
      <c r="B178" s="0" t="s">
        <v>50</v>
      </c>
      <c r="C178" s="0" t="s">
        <v>51</v>
      </c>
      <c r="D178" s="0" t="s">
        <v>187</v>
      </c>
      <c r="E178" s="0" t="n">
        <v>0.359225</v>
      </c>
      <c r="F178" s="0" t="n">
        <v>2.99125</v>
      </c>
      <c r="G178" s="0" t="n">
        <v>576</v>
      </c>
      <c r="H178" s="0" t="n">
        <v>527</v>
      </c>
      <c r="I178" s="0" t="s">
        <v>55</v>
      </c>
      <c r="J178" s="0" t="n">
        <v>0.0285390429</v>
      </c>
      <c r="K178" s="0" t="n">
        <v>0.1213497</v>
      </c>
      <c r="L178" s="0" t="n">
        <v>0.0187398113857036</v>
      </c>
      <c r="M178" s="1" t="n">
        <v>0.0367548515368436</v>
      </c>
      <c r="N178" s="0" t="n">
        <v>0.208496421935922</v>
      </c>
      <c r="O178" s="0" t="n">
        <v>0.307448590279776</v>
      </c>
      <c r="P178" s="0" t="n">
        <v>0.231920603604983</v>
      </c>
      <c r="Q178" s="0" t="n">
        <v>0.272447836143192</v>
      </c>
      <c r="R178" s="19" t="n">
        <v>0.26752462703</v>
      </c>
      <c r="S178" s="19" t="n">
        <v>0.248784815644296</v>
      </c>
      <c r="T178" s="0" t="n">
        <v>0.0001006480991065</v>
      </c>
      <c r="U178" s="19" t="n">
        <v>0.0001316917091065</v>
      </c>
      <c r="V178" s="19" t="n">
        <v>0.0003357545061305</v>
      </c>
      <c r="Z178" s="1"/>
      <c r="AA178" s="1"/>
      <c r="AB178" s="19"/>
      <c r="AJ178" s="0" t="n">
        <v>6.37726336606381</v>
      </c>
      <c r="AK178" s="0" t="n">
        <v>0.000359915260158</v>
      </c>
      <c r="AL178" s="0" t="n">
        <f aca="false">AK178-0.00003104361</f>
        <v>0.000328871650158</v>
      </c>
      <c r="AM178" s="0" t="n">
        <v>0.700772096640372</v>
      </c>
      <c r="AN178" s="0" t="n">
        <v>6.13360777876635E-041</v>
      </c>
      <c r="AO178" s="0" t="n">
        <v>9.9865412841E-005</v>
      </c>
      <c r="AP178" s="0" t="n">
        <v>6.34556199556211</v>
      </c>
      <c r="AQ178" s="0" t="n">
        <v>0.0003667981161305</v>
      </c>
      <c r="AR178" s="0" t="n">
        <v>0.0003357545061305</v>
      </c>
      <c r="AS178" s="0" t="n">
        <v>0.674377917736198</v>
      </c>
      <c r="AT178" s="0" t="n">
        <v>3.59059243188029E-041</v>
      </c>
      <c r="AU178" s="3" t="n">
        <v>0.118303322336143</v>
      </c>
      <c r="AV178" s="0" t="n">
        <v>0.00121648403417274</v>
      </c>
      <c r="AW178" s="0" t="n">
        <v>9.9865412841E-005</v>
      </c>
      <c r="AZ178" s="0" t="n">
        <v>0.200088648841278</v>
      </c>
      <c r="BA178" s="0" t="n">
        <v>0.180588648841278</v>
      </c>
      <c r="BC178" s="0" t="n">
        <v>0.251420603604983</v>
      </c>
      <c r="BD178" s="0" t="n">
        <v>0.231920603604983</v>
      </c>
      <c r="BE178" s="0" t="n">
        <v>0.143696438186291</v>
      </c>
      <c r="BF178" s="3" t="n">
        <v>0.104696438186291</v>
      </c>
      <c r="BG178" s="0" t="n">
        <v>0.0601911947603826</v>
      </c>
      <c r="BH178" s="0" t="n">
        <f aca="false">M178/BG178</f>
        <v>0.610635022002178</v>
      </c>
      <c r="BI178" s="0" t="n">
        <v>6.31662554356255E-033</v>
      </c>
      <c r="BJ178" s="0" t="n">
        <v>0.572148121279353</v>
      </c>
      <c r="BK178" s="0" t="n">
        <v>0.10939458086681</v>
      </c>
      <c r="BL178" s="0" t="n">
        <v>0.160284060426123</v>
      </c>
      <c r="BM178" s="0" t="n">
        <v>0.140784060426123</v>
      </c>
      <c r="BN178" s="0" t="e">
        <f aca="false">#REF!/#REF!</f>
        <v>#REF!</v>
      </c>
      <c r="BO178" s="20" t="n">
        <v>0.26752462703</v>
      </c>
    </row>
    <row r="179" customFormat="false" ht="12.8" hidden="false" customHeight="false" outlineLevel="0" collapsed="false">
      <c r="A179" s="0" t="s">
        <v>232</v>
      </c>
      <c r="B179" s="0" t="s">
        <v>50</v>
      </c>
      <c r="C179" s="0" t="s">
        <v>51</v>
      </c>
      <c r="D179" s="0" t="s">
        <v>187</v>
      </c>
      <c r="E179" s="0" t="n">
        <v>0.2975</v>
      </c>
      <c r="F179" s="0" t="n">
        <v>2.83875</v>
      </c>
      <c r="G179" s="0" t="n">
        <v>540</v>
      </c>
      <c r="H179" s="0" t="n">
        <v>482</v>
      </c>
      <c r="I179" s="0" t="s">
        <v>55</v>
      </c>
      <c r="J179" s="0" t="n">
        <v>0.0601713397</v>
      </c>
      <c r="K179" s="0" t="n">
        <v>0.0864448</v>
      </c>
      <c r="L179" s="0" t="n">
        <v>0.0175728463810546</v>
      </c>
      <c r="M179" s="1" t="n">
        <v>0.0242061404791422</v>
      </c>
      <c r="N179" s="0" t="n">
        <v>0.090711387483961</v>
      </c>
      <c r="O179" s="0" t="n">
        <v>0.213525165352957</v>
      </c>
      <c r="P179" s="0" t="n">
        <v>0.177102629609842</v>
      </c>
      <c r="Q179" s="0" t="n">
        <v>0.190758594005854</v>
      </c>
      <c r="R179" s="19" t="n">
        <v>0.102523333395</v>
      </c>
      <c r="S179" s="19" t="n">
        <v>0.0849504870139454</v>
      </c>
      <c r="T179" s="0" t="n">
        <v>6.789584708415E-005</v>
      </c>
      <c r="U179" s="19" t="n">
        <v>9.893945708415E-005</v>
      </c>
      <c r="V179" s="19" t="n">
        <v>0.0001108716767705</v>
      </c>
      <c r="Z179" s="1"/>
      <c r="AA179" s="1"/>
      <c r="AB179" s="19"/>
      <c r="AJ179" s="0" t="n">
        <v>100</v>
      </c>
      <c r="AK179" s="0" t="n">
        <v>0.0001419152867705</v>
      </c>
      <c r="AL179" s="0" t="n">
        <f aca="false">AK179-0.00003104361</f>
        <v>0.0001108716767705</v>
      </c>
      <c r="AM179" s="0" t="n">
        <v>0.662421757430004</v>
      </c>
      <c r="AN179" s="0" t="n">
        <v>3.71736824E-012</v>
      </c>
      <c r="AO179" s="0" t="n">
        <v>6.789584708415E-005</v>
      </c>
      <c r="AP179" s="0" t="n">
        <v>2.10663993489861</v>
      </c>
      <c r="AQ179" s="0" t="n">
        <v>0.0001419152867705</v>
      </c>
      <c r="AR179" s="0" t="n">
        <v>0.0001108716767705</v>
      </c>
      <c r="AS179" s="0" t="n">
        <v>0.662421757430004</v>
      </c>
      <c r="AT179" s="0" t="n">
        <v>7.43473648E-012</v>
      </c>
      <c r="AU179" s="3" t="n">
        <v>0.063229437343686</v>
      </c>
      <c r="AV179" s="0" t="n">
        <v>0.000154771402865209</v>
      </c>
      <c r="AW179" s="0" t="n">
        <v>0.0001882335327665</v>
      </c>
      <c r="AZ179" s="0" t="n">
        <v>0.0478145407107518</v>
      </c>
      <c r="BA179" s="0" t="n">
        <v>0.0283145407107518</v>
      </c>
      <c r="BC179" s="0" t="n">
        <v>0.196602629609842</v>
      </c>
      <c r="BD179" s="0" t="n">
        <v>0.177102629609842</v>
      </c>
      <c r="BE179" s="0" t="n">
        <v>0.116765461752848</v>
      </c>
      <c r="BF179" s="3" t="n">
        <v>0.077765461752848</v>
      </c>
      <c r="BG179" s="0" t="n">
        <v>0.0332881511592629</v>
      </c>
      <c r="BH179" s="0" t="n">
        <f aca="false">M179/BG179</f>
        <v>0.727169867840692</v>
      </c>
      <c r="BI179" s="0" t="n">
        <v>2.87284551668E-009</v>
      </c>
      <c r="BJ179" s="0" t="n">
        <v>0.621835597740836</v>
      </c>
      <c r="BK179" s="0" t="n">
        <v>0.129616214685828</v>
      </c>
      <c r="BL179" s="0" t="n">
        <v>0.117794946716069</v>
      </c>
      <c r="BM179" s="0" t="n">
        <v>0.098294946716069</v>
      </c>
      <c r="BN179" s="0" t="e">
        <f aca="false">#REF!/#REF!</f>
        <v>#REF!</v>
      </c>
      <c r="BO179" s="20" t="n">
        <v>0.088129120495</v>
      </c>
    </row>
    <row r="180" customFormat="false" ht="12.8" hidden="false" customHeight="false" outlineLevel="0" collapsed="false">
      <c r="A180" s="0" t="s">
        <v>233</v>
      </c>
      <c r="B180" s="0" t="s">
        <v>50</v>
      </c>
      <c r="C180" s="21" t="s">
        <v>51</v>
      </c>
      <c r="D180" s="0" t="s">
        <v>187</v>
      </c>
      <c r="E180" s="0" t="n">
        <v>0.32085</v>
      </c>
      <c r="F180" s="0" t="n">
        <v>3.6215</v>
      </c>
      <c r="G180" s="0" t="n">
        <v>566</v>
      </c>
      <c r="H180" s="0" t="n">
        <v>523</v>
      </c>
      <c r="I180" s="0" t="s">
        <v>55</v>
      </c>
      <c r="J180" s="0" t="n">
        <v>0.032572464</v>
      </c>
      <c r="K180" s="0" t="n">
        <v>0.0818894</v>
      </c>
      <c r="L180" s="0" t="n">
        <v>0.0184119107636948</v>
      </c>
      <c r="M180" s="1" t="n">
        <v>0.0336931412787006</v>
      </c>
      <c r="N180" s="0" t="n">
        <v>0.341871330717918</v>
      </c>
      <c r="O180" s="0" t="n">
        <v>0.446103399390834</v>
      </c>
      <c r="P180" s="0" t="n">
        <v>0.389866801459379</v>
      </c>
      <c r="Q180" s="0" t="n">
        <v>0.316678723440451</v>
      </c>
      <c r="R180" s="19" t="n">
        <v>0.253201540865</v>
      </c>
      <c r="S180" s="19" t="n">
        <v>0.234789630101305</v>
      </c>
      <c r="T180" s="0" t="n">
        <v>9.6802122454E-005</v>
      </c>
      <c r="U180" s="19" t="n">
        <v>0.000127845732454</v>
      </c>
      <c r="V180" s="19" t="n">
        <v>0.0003126524553765</v>
      </c>
      <c r="Z180" s="1"/>
      <c r="AA180" s="1"/>
      <c r="AB180" s="19"/>
      <c r="AJ180" s="0" t="n">
        <v>100</v>
      </c>
      <c r="AK180" s="0" t="n">
        <v>0.000373418018442</v>
      </c>
      <c r="AL180" s="0" t="n">
        <f aca="false">AK180-0.00003104361</f>
        <v>0.000342374408442</v>
      </c>
      <c r="AM180" s="0" t="n">
        <v>0.450462592323102</v>
      </c>
      <c r="AN180" s="0" t="n">
        <v>3.64982872935076E-043</v>
      </c>
      <c r="AO180" s="0" t="n">
        <v>9.448580165E-005</v>
      </c>
      <c r="AP180" s="0" t="n">
        <v>4.64920020343851</v>
      </c>
      <c r="AQ180" s="0" t="n">
        <v>0.0003436960653765</v>
      </c>
      <c r="AR180" s="0" t="n">
        <v>0.0003126524553765</v>
      </c>
      <c r="AS180" s="0" t="n">
        <v>0.618758213306286</v>
      </c>
      <c r="AT180" s="0" t="n">
        <v>9.88379120091104E-039</v>
      </c>
      <c r="AU180" s="3" t="n">
        <v>0.130128898885432</v>
      </c>
      <c r="AV180" s="0" t="n">
        <v>2.4969839E-013</v>
      </c>
      <c r="AW180" s="0" t="n">
        <v>9.448580165E-005</v>
      </c>
      <c r="AZ180" s="0" t="n">
        <v>0.39940170601742</v>
      </c>
      <c r="BA180" s="0" t="n">
        <v>0.38060170601742</v>
      </c>
      <c r="BC180" s="0" t="n">
        <v>0.408666801459379</v>
      </c>
      <c r="BD180" s="0" t="n">
        <v>0.389866801459379</v>
      </c>
      <c r="BE180" s="0" t="n">
        <v>0.137837119304674</v>
      </c>
      <c r="BF180" s="3" t="n">
        <v>0.098837119304674</v>
      </c>
      <c r="BG180" s="0" t="n">
        <v>0.0609986407390682</v>
      </c>
      <c r="BH180" s="0" t="n">
        <f aca="false">M180/BG180</f>
        <v>0.552358886533695</v>
      </c>
      <c r="BI180" s="0" t="n">
        <v>1.38312743673899E-033</v>
      </c>
      <c r="BJ180" s="0" t="n">
        <v>0.349013864608197</v>
      </c>
      <c r="BK180" s="0" t="n">
        <v>0</v>
      </c>
      <c r="BL180" s="0" t="n">
        <v>0</v>
      </c>
      <c r="BM180" s="0" t="n">
        <v>0</v>
      </c>
      <c r="BN180" s="0" t="e">
        <f aca="false">#REF!/#REF!</f>
        <v>#REF!</v>
      </c>
      <c r="BO180" s="20" t="n">
        <v>0.252144179595</v>
      </c>
    </row>
    <row r="181" customFormat="false" ht="12.8" hidden="false" customHeight="false" outlineLevel="0" collapsed="false">
      <c r="A181" s="0" t="s">
        <v>234</v>
      </c>
      <c r="B181" s="0" t="s">
        <v>50</v>
      </c>
      <c r="C181" s="0" t="s">
        <v>59</v>
      </c>
      <c r="D181" s="0" t="s">
        <v>187</v>
      </c>
      <c r="E181" s="0" t="n">
        <v>0.0480125</v>
      </c>
      <c r="F181" s="0" t="n">
        <v>0.761375</v>
      </c>
      <c r="G181" s="0" t="n">
        <v>84</v>
      </c>
      <c r="H181" s="0" t="n">
        <v>52</v>
      </c>
      <c r="I181" s="0" t="s">
        <v>53</v>
      </c>
      <c r="J181" s="0" t="n">
        <v>0</v>
      </c>
      <c r="K181" s="0" t="n">
        <v>0.028172</v>
      </c>
      <c r="L181" s="0" t="n">
        <v>0.00245295929337487</v>
      </c>
      <c r="M181" s="1" t="n">
        <v>0.0312047582201311</v>
      </c>
      <c r="N181" s="0" t="n">
        <v>0.11672456240963</v>
      </c>
      <c r="O181" s="0" t="n">
        <v>0.137511997428704</v>
      </c>
      <c r="P181" s="0" t="n">
        <v>0.106539323996435</v>
      </c>
      <c r="Q181" s="0" t="n">
        <v>0.121187179175647</v>
      </c>
      <c r="R181" s="19" t="n">
        <v>0.0140898939336</v>
      </c>
      <c r="S181" s="19" t="n">
        <v>0.0116369346402251</v>
      </c>
      <c r="T181" s="0" t="n">
        <v>0.000119147511055667</v>
      </c>
      <c r="U181" s="19" t="n">
        <v>0.000146966537829</v>
      </c>
      <c r="V181" s="19" t="n">
        <v>0.000144305313689167</v>
      </c>
      <c r="Z181" s="1"/>
      <c r="AA181" s="1"/>
      <c r="AB181" s="19"/>
      <c r="AJ181" s="0" t="n">
        <v>100</v>
      </c>
      <c r="AK181" s="0" t="n">
        <v>0.0001721243404625</v>
      </c>
      <c r="AL181" s="0" t="n">
        <f aca="false">AK181-0.0000278190267733333</f>
        <v>0.000144305313689167</v>
      </c>
      <c r="AM181" s="0" t="n">
        <v>1.097450962201</v>
      </c>
      <c r="AN181" s="0" t="n">
        <v>0.247062272204632</v>
      </c>
      <c r="AO181" s="0" t="n">
        <v>0.000119147511055667</v>
      </c>
      <c r="AP181" s="0" t="n">
        <v>0.298956586522719</v>
      </c>
      <c r="AQ181" s="0" t="n">
        <v>0.0001721243404625</v>
      </c>
      <c r="AR181" s="0" t="n">
        <v>0.000144305313689167</v>
      </c>
      <c r="AS181" s="0" t="n">
        <v>1.097450962201</v>
      </c>
      <c r="AT181" s="0" t="n">
        <v>0.494124544409264</v>
      </c>
      <c r="AU181" s="3" t="n">
        <v>0.0156433246950119</v>
      </c>
      <c r="AV181" s="0" t="n">
        <v>0.192722237928115</v>
      </c>
      <c r="AW181" s="0" t="n">
        <v>-2.78190267733333E-005</v>
      </c>
      <c r="AZ181" s="0" t="n">
        <v>0.146089454922281</v>
      </c>
      <c r="BA181" s="0" t="n">
        <v>0.126589454922281</v>
      </c>
      <c r="BC181" s="0" t="n">
        <v>0.126039323996435</v>
      </c>
      <c r="BD181" s="0" t="n">
        <v>0.106539323996435</v>
      </c>
      <c r="BE181" s="0" t="n">
        <v>0.0524465083788222</v>
      </c>
      <c r="BF181" s="3" t="n">
        <v>0.0148465083788222</v>
      </c>
      <c r="BG181" s="0" t="n">
        <v>0.0350176220845861</v>
      </c>
      <c r="BH181" s="0" t="n">
        <f aca="false">M181/BG181</f>
        <v>0.891115854319151</v>
      </c>
      <c r="BI181" s="0" t="n">
        <v>0.0346763248416846</v>
      </c>
      <c r="BJ181" s="0" t="n">
        <v>0.562973613865353</v>
      </c>
      <c r="BK181" s="0" t="n">
        <v>0</v>
      </c>
      <c r="BL181" s="0" t="n">
        <v>0</v>
      </c>
      <c r="BM181" s="0" t="n">
        <v>0</v>
      </c>
      <c r="BN181" s="0" t="e">
        <f aca="false">#REF!/#REF!</f>
        <v>#REF!</v>
      </c>
      <c r="BO181" s="20" t="n">
        <v>0.0111417954428</v>
      </c>
    </row>
    <row r="182" customFormat="false" ht="12.8" hidden="false" customHeight="false" outlineLevel="0" collapsed="false">
      <c r="A182" s="0" t="s">
        <v>235</v>
      </c>
      <c r="B182" s="0" t="s">
        <v>50</v>
      </c>
      <c r="C182" s="21" t="s">
        <v>51</v>
      </c>
      <c r="D182" s="0" t="s">
        <v>187</v>
      </c>
      <c r="E182" s="0" t="n">
        <v>0.316775</v>
      </c>
      <c r="F182" s="0" t="n">
        <v>2.841</v>
      </c>
      <c r="G182" s="0" t="n">
        <v>757</v>
      </c>
      <c r="H182" s="0" t="n">
        <v>699</v>
      </c>
      <c r="I182" s="0" t="s">
        <v>55</v>
      </c>
      <c r="J182" s="0" t="n">
        <v>0.0511657633</v>
      </c>
      <c r="K182" s="0" t="n">
        <v>0.2468953</v>
      </c>
      <c r="L182" s="0" t="n">
        <v>0.0245966107723753</v>
      </c>
      <c r="M182" s="1" t="n">
        <v>0.0300394930444062</v>
      </c>
      <c r="N182" s="0" t="n">
        <v>0.266314572786987</v>
      </c>
      <c r="O182" s="0" t="n">
        <v>0.272502972202425</v>
      </c>
      <c r="P182" s="0" t="n">
        <v>0.227193886578419</v>
      </c>
      <c r="Q182" s="0" t="n">
        <v>0.301503649805881</v>
      </c>
      <c r="R182" s="19" t="n">
        <v>0.18665915989</v>
      </c>
      <c r="S182" s="19" t="n">
        <v>0.162062549117625</v>
      </c>
      <c r="T182" s="0" t="n">
        <v>9.1107660911E-005</v>
      </c>
      <c r="U182" s="19" t="n">
        <v>0.000122151270911</v>
      </c>
      <c r="V182" s="19" t="n">
        <v>0.000156338897991</v>
      </c>
      <c r="Z182" s="1"/>
      <c r="AA182" s="1"/>
      <c r="AB182" s="19"/>
      <c r="AJ182" s="0" t="n">
        <v>100</v>
      </c>
      <c r="AK182" s="0" t="n">
        <v>0.000189846533459</v>
      </c>
      <c r="AL182" s="0" t="n">
        <f aca="false">AK182-0.00003104361</f>
        <v>0.000158802923459</v>
      </c>
      <c r="AM182" s="0" t="n">
        <v>0.527611456537042</v>
      </c>
      <c r="AN182" s="0" t="n">
        <v>1.44247252024779E-028</v>
      </c>
      <c r="AO182" s="0" t="n">
        <v>9.0985521465E-005</v>
      </c>
      <c r="AP182" s="0" t="n">
        <v>2.60756480005301</v>
      </c>
      <c r="AQ182" s="0" t="n">
        <v>0.000187382507991</v>
      </c>
      <c r="AR182" s="0" t="n">
        <v>0.000156338897991</v>
      </c>
      <c r="AS182" s="0" t="n">
        <v>0.56860561668495</v>
      </c>
      <c r="AT182" s="0" t="n">
        <v>1.80700735346696E-027</v>
      </c>
      <c r="AU182" s="3" t="n">
        <v>0.074460084133616</v>
      </c>
      <c r="AV182" s="0" t="n">
        <v>3.5437856518152E-007</v>
      </c>
      <c r="AW182" s="0" t="n">
        <v>0.000187232486867</v>
      </c>
      <c r="AZ182" s="0" t="n">
        <v>0.232130191274525</v>
      </c>
      <c r="BA182" s="0" t="n">
        <v>0.213330191274525</v>
      </c>
      <c r="BC182" s="0" t="n">
        <v>0.245993886578419</v>
      </c>
      <c r="BD182" s="0" t="n">
        <v>0.227193886578419</v>
      </c>
      <c r="BE182" s="0" t="n">
        <v>0.130864381286293</v>
      </c>
      <c r="BF182" s="3" t="n">
        <v>0.091864381286293</v>
      </c>
      <c r="BG182" s="0" t="n">
        <v>0.0399333570981065</v>
      </c>
      <c r="BH182" s="0" t="n">
        <f aca="false">M182/BG182</f>
        <v>0.752240613545375</v>
      </c>
      <c r="BI182" s="0" t="n">
        <v>1.32811843926868E-017</v>
      </c>
      <c r="BJ182" s="0" t="n">
        <v>0.557442937490216</v>
      </c>
      <c r="BK182" s="0" t="n">
        <v>0.11688601930193</v>
      </c>
      <c r="BL182" s="0" t="n">
        <v>0.16010467866208</v>
      </c>
      <c r="BM182" s="0" t="n">
        <v>0.14130467866208</v>
      </c>
      <c r="BN182" s="0" t="e">
        <f aca="false">#REF!/#REF!</f>
        <v>#REF!</v>
      </c>
      <c r="BO182" s="20" t="n">
        <v>0.169536268775</v>
      </c>
    </row>
    <row r="183" customFormat="false" ht="12.8" hidden="false" customHeight="false" outlineLevel="0" collapsed="false">
      <c r="A183" s="0" t="s">
        <v>236</v>
      </c>
      <c r="B183" s="0" t="s">
        <v>50</v>
      </c>
      <c r="C183" s="0" t="s">
        <v>59</v>
      </c>
      <c r="D183" s="0" t="s">
        <v>187</v>
      </c>
      <c r="E183" s="0" t="n">
        <v>0.0831375</v>
      </c>
      <c r="F183" s="0" t="n">
        <v>1.21525</v>
      </c>
      <c r="G183" s="0" t="n">
        <v>321</v>
      </c>
      <c r="H183" s="0" t="n">
        <v>278</v>
      </c>
      <c r="I183" s="0" t="s">
        <v>53</v>
      </c>
      <c r="J183" s="0" t="n">
        <v>0</v>
      </c>
      <c r="K183" s="0" t="n">
        <v>0.067793</v>
      </c>
      <c r="L183" s="0" t="n">
        <v>0.00925642748641059</v>
      </c>
      <c r="M183" s="1" t="n">
        <v>0.0254549296642778</v>
      </c>
      <c r="N183" s="0" t="n">
        <v>0.18326947925285</v>
      </c>
      <c r="O183" s="0" t="n">
        <v>0.206889942159849</v>
      </c>
      <c r="P183" s="0" t="n">
        <v>0.148133065961182</v>
      </c>
      <c r="Q183" s="0" t="n">
        <v>0.154312135073372</v>
      </c>
      <c r="R183" s="19" t="n">
        <v>0.0541780150516</v>
      </c>
      <c r="S183" s="19" t="n">
        <v>0.0449215875651894</v>
      </c>
      <c r="T183" s="0" t="n">
        <v>5.77937872981667E-005</v>
      </c>
      <c r="U183" s="19" t="n">
        <v>8.56128140715E-005</v>
      </c>
      <c r="V183" s="19" t="n">
        <v>9.61413762736667E-005</v>
      </c>
      <c r="Z183" s="1"/>
      <c r="AA183" s="1"/>
      <c r="AB183" s="19"/>
      <c r="AJ183" s="0" t="n">
        <v>100</v>
      </c>
      <c r="AK183" s="0" t="n">
        <v>0.000129552381754</v>
      </c>
      <c r="AL183" s="0" t="n">
        <f aca="false">AK183-0.0000278190267733333</f>
        <v>0.000101733354980667</v>
      </c>
      <c r="AM183" s="0" t="n">
        <v>0.581113710713196</v>
      </c>
      <c r="AN183" s="0" t="n">
        <v>1.5417949482E-010</v>
      </c>
      <c r="AO183" s="0" t="n">
        <v>5.76725105840667E-005</v>
      </c>
      <c r="AP183" s="0" t="n">
        <v>1.40032824127665</v>
      </c>
      <c r="AQ183" s="0" t="n">
        <v>0.000123960403047</v>
      </c>
      <c r="AR183" s="0" t="n">
        <v>9.61413762736667E-005</v>
      </c>
      <c r="AS183" s="0" t="n">
        <v>0.68102154750324</v>
      </c>
      <c r="AT183" s="0" t="n">
        <v>2.08040782271E-009</v>
      </c>
      <c r="AU183" s="3" t="n">
        <v>0.0434550573871358</v>
      </c>
      <c r="AV183" s="0" t="n">
        <v>0.323467797241241</v>
      </c>
      <c r="AW183" s="0" t="n">
        <v>0.000136301108264167</v>
      </c>
      <c r="AZ183" s="0" t="n">
        <v>0.259495560441452</v>
      </c>
      <c r="BA183" s="0" t="n">
        <v>0.239995560441452</v>
      </c>
      <c r="BC183" s="0" t="n">
        <v>0.167633065961182</v>
      </c>
      <c r="BD183" s="0" t="n">
        <v>0.148133065961182</v>
      </c>
      <c r="BE183" s="0" t="n">
        <v>0.0859809713399421</v>
      </c>
      <c r="BF183" s="3" t="n">
        <v>0.0483809713399421</v>
      </c>
      <c r="BG183" s="0" t="n">
        <v>0.0334646793220729</v>
      </c>
      <c r="BH183" s="0" t="n">
        <f aca="false">M183/BG183</f>
        <v>0.760650637625804</v>
      </c>
      <c r="BI183" s="0" t="n">
        <v>7.9968153008278E-007</v>
      </c>
      <c r="BJ183" s="0" t="n">
        <v>0.508244586201445</v>
      </c>
      <c r="BK183" s="0" t="n">
        <v>0</v>
      </c>
      <c r="BL183" s="0" t="n">
        <v>0</v>
      </c>
      <c r="BM183" s="0" t="n">
        <v>0</v>
      </c>
      <c r="BN183" s="0" t="e">
        <f aca="false">#REF!/#REF!</f>
        <v>#REF!</v>
      </c>
      <c r="BO183" s="20" t="n">
        <v>0.0436455923748</v>
      </c>
    </row>
    <row r="184" customFormat="false" ht="12.8" hidden="false" customHeight="false" outlineLevel="0" collapsed="false">
      <c r="A184" s="0" t="s">
        <v>237</v>
      </c>
      <c r="B184" s="0" t="s">
        <v>50</v>
      </c>
      <c r="C184" s="0" t="s">
        <v>51</v>
      </c>
      <c r="D184" s="0" t="s">
        <v>187</v>
      </c>
      <c r="E184" s="0" t="n">
        <v>0.238975</v>
      </c>
      <c r="F184" s="0" t="n">
        <v>2.54875</v>
      </c>
      <c r="G184" s="0" t="n">
        <v>578</v>
      </c>
      <c r="H184" s="0" t="n">
        <v>537</v>
      </c>
      <c r="I184" s="0" t="s">
        <v>55</v>
      </c>
      <c r="J184" s="0" t="n">
        <v>0.0109989541</v>
      </c>
      <c r="K184" s="0" t="n">
        <v>0.283924</v>
      </c>
      <c r="L184" s="0" t="n">
        <v>0.0188082469186915</v>
      </c>
      <c r="M184" s="1" t="n">
        <v>0.0249708081680037</v>
      </c>
      <c r="N184" s="0" t="n">
        <v>0.143908180045289</v>
      </c>
      <c r="O184" s="0" t="n">
        <v>0.2411090354138</v>
      </c>
      <c r="P184" s="0" t="n">
        <v>0.198848384910362</v>
      </c>
      <c r="Q184" s="0" t="n">
        <v>0.245865091649127</v>
      </c>
      <c r="R184" s="19" t="n">
        <v>0.144217099015</v>
      </c>
      <c r="S184" s="19" t="n">
        <v>0.125408852096308</v>
      </c>
      <c r="T184" s="0" t="n">
        <v>7.7913747593E-005</v>
      </c>
      <c r="U184" s="19" t="n">
        <v>0.000108957357593</v>
      </c>
      <c r="V184" s="19" t="n">
        <v>0.0001666643101255</v>
      </c>
      <c r="Z184" s="1"/>
      <c r="AA184" s="1"/>
      <c r="AB184" s="19"/>
      <c r="AJ184" s="0" t="n">
        <v>100</v>
      </c>
      <c r="AK184" s="0" t="n">
        <v>0.000198074655645</v>
      </c>
      <c r="AL184" s="0" t="n">
        <f aca="false">AK184-0.00003104361</f>
        <v>0.000167031045645</v>
      </c>
      <c r="AM184" s="0" t="n">
        <v>0.868854452044469</v>
      </c>
      <c r="AN184" s="0" t="n">
        <v>1.38344733997147E-027</v>
      </c>
      <c r="AO184" s="0" t="n">
        <v>7.7913747593E-005</v>
      </c>
      <c r="AP184" s="0" t="n">
        <v>3.54422724274727</v>
      </c>
      <c r="AQ184" s="0" t="n">
        <v>0.0001977079201255</v>
      </c>
      <c r="AR184" s="0" t="n">
        <v>0.0001666643101255</v>
      </c>
      <c r="AS184" s="0" t="n">
        <v>0.886036980789706</v>
      </c>
      <c r="AT184" s="0" t="n">
        <v>4.99807635763971E-027</v>
      </c>
      <c r="AU184" s="3" t="n">
        <v>0.091892893011883</v>
      </c>
      <c r="AV184" s="0" t="n">
        <v>0.298912261648203</v>
      </c>
      <c r="AW184" s="0" t="n">
        <v>0.0001434848470955</v>
      </c>
      <c r="AZ184" s="0" t="n">
        <v>0.0850406753195587</v>
      </c>
      <c r="BA184" s="0" t="n">
        <v>0.0655406753195587</v>
      </c>
      <c r="BC184" s="0" t="n">
        <v>0.218348384910362</v>
      </c>
      <c r="BD184" s="0" t="n">
        <v>0.198848384910362</v>
      </c>
      <c r="BE184" s="0" t="n">
        <v>0.130304549128635</v>
      </c>
      <c r="BF184" s="3" t="n">
        <v>0.091304549128635</v>
      </c>
      <c r="BG184" s="0" t="n">
        <v>0.0419958417811206</v>
      </c>
      <c r="BH184" s="0" t="n">
        <f aca="false">M184/BG184</f>
        <v>0.594601920307963</v>
      </c>
      <c r="BI184" s="0" t="n">
        <v>1.22699655048536E-024</v>
      </c>
      <c r="BJ184" s="0" t="n">
        <v>0.603286684690446</v>
      </c>
      <c r="BK184" s="0" t="n">
        <v>0.174423077758442</v>
      </c>
      <c r="BL184" s="0" t="n">
        <v>0.225476352455823</v>
      </c>
      <c r="BM184" s="0" t="n">
        <v>0.205976352455823</v>
      </c>
      <c r="BN184" s="0" t="e">
        <f aca="false">#REF!/#REF!</f>
        <v>#REF!</v>
      </c>
      <c r="BO184" s="20" t="n">
        <v>0.11921215868</v>
      </c>
    </row>
    <row r="185" customFormat="false" ht="12.8" hidden="false" customHeight="false" outlineLevel="0" collapsed="false">
      <c r="A185" s="0" t="s">
        <v>238</v>
      </c>
      <c r="B185" s="0" t="s">
        <v>50</v>
      </c>
      <c r="C185" s="0" t="s">
        <v>51</v>
      </c>
      <c r="D185" s="0" t="s">
        <v>187</v>
      </c>
      <c r="E185" s="0" t="n">
        <v>0.154175</v>
      </c>
      <c r="F185" s="0" t="n">
        <v>1.8265</v>
      </c>
      <c r="G185" s="0" t="n">
        <v>214</v>
      </c>
      <c r="H185" s="0" t="n">
        <v>191</v>
      </c>
      <c r="I185" s="0" t="s">
        <v>53</v>
      </c>
      <c r="J185" s="0" t="n">
        <v>0.02629282837</v>
      </c>
      <c r="K185" s="0" t="n">
        <v>0.064028</v>
      </c>
      <c r="L185" s="0" t="n">
        <v>0.00705843599874194</v>
      </c>
      <c r="M185" s="1" t="n">
        <v>0.0256987948778509</v>
      </c>
      <c r="N185" s="0" t="n">
        <v>0.282785250214956</v>
      </c>
      <c r="O185" s="0" t="n">
        <v>0.173051256521368</v>
      </c>
      <c r="P185" s="0" t="n">
        <v>0.117582019022317</v>
      </c>
      <c r="Q185" s="0" t="n">
        <v>0.293888338353291</v>
      </c>
      <c r="R185" s="19" t="n">
        <v>0.0476824772955</v>
      </c>
      <c r="S185" s="19" t="n">
        <v>0.0406240412967581</v>
      </c>
      <c r="T185" s="0" t="n">
        <v>5.18983405176E-005</v>
      </c>
      <c r="U185" s="19" t="n">
        <v>8.29419505176E-005</v>
      </c>
      <c r="V185" s="19" t="n">
        <v>0.000121164814861</v>
      </c>
      <c r="Z185" s="1"/>
      <c r="AA185" s="1"/>
      <c r="AB185" s="19"/>
      <c r="AJ185" s="0" t="n">
        <v>100</v>
      </c>
      <c r="AK185" s="0" t="n">
        <v>0.000154343289471</v>
      </c>
      <c r="AL185" s="0" t="n">
        <f aca="false">AK185-0.00003104361</f>
        <v>0.000123299679471</v>
      </c>
      <c r="AM185" s="0" t="n">
        <v>0.578731186231478</v>
      </c>
      <c r="AN185" s="0" t="n">
        <v>5.73755331E-012</v>
      </c>
      <c r="AO185" s="0" t="n">
        <v>5.18983405176E-005</v>
      </c>
      <c r="AP185" s="0" t="n">
        <v>1.83568845432412</v>
      </c>
      <c r="AQ185" s="0" t="n">
        <v>0.000152208424861</v>
      </c>
      <c r="AR185" s="0" t="n">
        <v>0.000121164814861</v>
      </c>
      <c r="AS185" s="0" t="n">
        <v>0.768662980663473</v>
      </c>
      <c r="AT185" s="0" t="n">
        <v>9.4608679E-013</v>
      </c>
      <c r="AU185" s="3" t="n">
        <v>0.068326071663358</v>
      </c>
      <c r="AV185" s="0" t="n">
        <v>0.00270064258873398</v>
      </c>
      <c r="AW185" s="0" t="n">
        <v>0.000124683258494</v>
      </c>
      <c r="AZ185" s="0" t="n">
        <v>0.250245891035114</v>
      </c>
      <c r="BA185" s="0" t="n">
        <v>0.230745891035114</v>
      </c>
      <c r="BC185" s="0" t="n">
        <v>0.137082019022317</v>
      </c>
      <c r="BD185" s="0" t="n">
        <v>0.117582019022317</v>
      </c>
      <c r="BE185" s="0" t="n">
        <v>0.0968560793322244</v>
      </c>
      <c r="BF185" s="3" t="n">
        <v>0.0578560793322244</v>
      </c>
      <c r="BG185" s="0" t="n">
        <v>0.0394337790371169</v>
      </c>
      <c r="BH185" s="0" t="n">
        <f aca="false">M185/BG185</f>
        <v>0.651694955577603</v>
      </c>
      <c r="BI185" s="0" t="n">
        <v>1.840396548218E-008</v>
      </c>
      <c r="BJ185" s="0" t="n">
        <v>0.760906119992806</v>
      </c>
      <c r="BK185" s="0" t="n">
        <v>0.105030100979402</v>
      </c>
      <c r="BL185" s="0" t="n">
        <v>0.091836888371193</v>
      </c>
      <c r="BM185" s="0" t="n">
        <v>0.072336888371193</v>
      </c>
      <c r="BN185" s="0" t="e">
        <f aca="false">#REF!/#REF!</f>
        <v>#REF!</v>
      </c>
      <c r="BO185" s="20" t="n">
        <v>0.0371738736025</v>
      </c>
    </row>
    <row r="186" customFormat="false" ht="12.8" hidden="false" customHeight="false" outlineLevel="0" collapsed="false">
      <c r="A186" s="0" t="s">
        <v>239</v>
      </c>
      <c r="B186" s="0" t="s">
        <v>50</v>
      </c>
      <c r="C186" s="0" t="s">
        <v>51</v>
      </c>
      <c r="D186" s="0" t="s">
        <v>187</v>
      </c>
      <c r="E186" s="0" t="n">
        <v>0.1938</v>
      </c>
      <c r="F186" s="0" t="n">
        <v>1.95825</v>
      </c>
      <c r="G186" s="0" t="n">
        <v>426</v>
      </c>
      <c r="H186" s="0" t="n">
        <v>368</v>
      </c>
      <c r="I186" s="0" t="s">
        <v>55</v>
      </c>
      <c r="J186" s="0" t="n">
        <v>0.0162597653</v>
      </c>
      <c r="K186" s="0" t="n">
        <v>0.0540294</v>
      </c>
      <c r="L186" s="0" t="n">
        <v>0.0154222038199005</v>
      </c>
      <c r="M186" s="1" t="n">
        <v>0.0274809663350963</v>
      </c>
      <c r="N186" s="0" t="n">
        <v>0.270844844380146</v>
      </c>
      <c r="O186" s="0" t="n">
        <v>0.218319805696979</v>
      </c>
      <c r="P186" s="0" t="n">
        <v>0.173723323441995</v>
      </c>
      <c r="Q186" s="0" t="n">
        <v>0.277243497500831</v>
      </c>
      <c r="R186" s="19" t="n">
        <v>0.094863683965</v>
      </c>
      <c r="S186" s="19" t="n">
        <v>0.0794414801450995</v>
      </c>
      <c r="T186" s="0" t="n">
        <v>8.2880368833E-005</v>
      </c>
      <c r="U186" s="19" t="n">
        <v>0.000113923978833</v>
      </c>
      <c r="V186" s="19" t="n">
        <v>0.0001470041212875</v>
      </c>
      <c r="Z186" s="1"/>
      <c r="AA186" s="1"/>
      <c r="AB186" s="19"/>
      <c r="AJ186" s="0" t="n">
        <v>2.55485034081555</v>
      </c>
      <c r="AK186" s="0" t="n">
        <v>0.0001780477312875</v>
      </c>
      <c r="AL186" s="0" t="n">
        <f aca="false">AK186-0.00003104361</f>
        <v>0.0001470041212875</v>
      </c>
      <c r="AM186" s="0" t="n">
        <v>0.645148661725255</v>
      </c>
      <c r="AN186" s="0" t="n">
        <v>1.369347E-014</v>
      </c>
      <c r="AO186" s="0" t="n">
        <v>8.2880368833E-005</v>
      </c>
      <c r="AP186" s="0" t="n">
        <v>2.55485034081555</v>
      </c>
      <c r="AQ186" s="0" t="n">
        <v>0.0001780477312875</v>
      </c>
      <c r="AR186" s="0" t="n">
        <v>0.0001470041212875</v>
      </c>
      <c r="AS186" s="0" t="n">
        <v>0.645148661725255</v>
      </c>
      <c r="AT186" s="0" t="n">
        <v>2.738695E-014</v>
      </c>
      <c r="AU186" s="3" t="n">
        <v>0.046239527767259</v>
      </c>
      <c r="AV186" s="0" t="n">
        <v>0.486100560220966</v>
      </c>
      <c r="AW186" s="0" t="n">
        <v>0.000163799752406</v>
      </c>
      <c r="AZ186" s="0" t="n">
        <v>0.275494222179854</v>
      </c>
      <c r="BA186" s="0" t="n">
        <v>0.255994222179854</v>
      </c>
      <c r="BC186" s="0" t="n">
        <v>0.193223323441995</v>
      </c>
      <c r="BD186" s="0" t="n">
        <v>0.173723323441995</v>
      </c>
      <c r="BE186" s="0" t="n">
        <v>0.0881320840266204</v>
      </c>
      <c r="BF186" s="3" t="n">
        <v>0.0491320840266204</v>
      </c>
      <c r="BG186" s="0" t="n">
        <v>0.0389183299975528</v>
      </c>
      <c r="BH186" s="0" t="n">
        <f aca="false">M186/BG186</f>
        <v>0.706118847772356</v>
      </c>
      <c r="BI186" s="0" t="n">
        <v>1.9356229E-012</v>
      </c>
      <c r="BJ186" s="0" t="n">
        <v>0.450833850387697</v>
      </c>
      <c r="BK186" s="0" t="n">
        <v>0.0956324022436819</v>
      </c>
      <c r="BL186" s="0" t="n">
        <v>0.156589645273161</v>
      </c>
      <c r="BM186" s="0" t="n">
        <v>0.137089645273161</v>
      </c>
      <c r="BN186" s="0" t="e">
        <f aca="false">#REF!/#REF!</f>
        <v>#REF!</v>
      </c>
      <c r="BO186" s="20" t="n">
        <v>0.08182346393</v>
      </c>
    </row>
    <row r="187" customFormat="false" ht="12.8" hidden="false" customHeight="false" outlineLevel="0" collapsed="false">
      <c r="A187" s="0" t="s">
        <v>240</v>
      </c>
      <c r="B187" s="0" t="s">
        <v>50</v>
      </c>
      <c r="C187" s="0" t="s">
        <v>51</v>
      </c>
      <c r="D187" s="0" t="s">
        <v>187</v>
      </c>
      <c r="E187" s="0" t="n">
        <v>0.296725</v>
      </c>
      <c r="F187" s="0" t="n">
        <v>2.65475</v>
      </c>
      <c r="G187" s="0" t="n">
        <v>682</v>
      </c>
      <c r="H187" s="0" t="n">
        <v>614</v>
      </c>
      <c r="I187" s="0" t="s">
        <v>55</v>
      </c>
      <c r="J187" s="0" t="n">
        <v>0.0254710745</v>
      </c>
      <c r="K187" s="0" t="n">
        <v>0.1044895</v>
      </c>
      <c r="L187" s="0" t="n">
        <v>0.0221834486778956</v>
      </c>
      <c r="M187" s="1" t="n">
        <v>0.0296281790458208</v>
      </c>
      <c r="N187" s="0" t="n">
        <v>0.275590050344205</v>
      </c>
      <c r="O187" s="0" t="n">
        <v>0.276370268248416</v>
      </c>
      <c r="P187" s="0" t="n">
        <v>0.237030228762556</v>
      </c>
      <c r="Q187" s="0" t="n">
        <v>0.31934226377283</v>
      </c>
      <c r="R187" s="19" t="n">
        <v>0.17502356056</v>
      </c>
      <c r="S187" s="19" t="n">
        <v>0.152840111882104</v>
      </c>
      <c r="T187" s="0" t="n">
        <v>0.000105172210476</v>
      </c>
      <c r="U187" s="19" t="n">
        <v>0.000136215820476</v>
      </c>
      <c r="V187" s="19" t="n">
        <v>0.0001714560247835</v>
      </c>
      <c r="Z187" s="1"/>
      <c r="AA187" s="1"/>
      <c r="AB187" s="19"/>
      <c r="AJ187" s="0" t="n">
        <v>100</v>
      </c>
      <c r="AK187" s="0" t="n">
        <v>0.000203791316475</v>
      </c>
      <c r="AL187" s="0" t="n">
        <f aca="false">AK187-0.00003104361</f>
        <v>0.000172747706475</v>
      </c>
      <c r="AM187" s="0" t="n">
        <v>0.853926661089957</v>
      </c>
      <c r="AN187" s="0" t="n">
        <v>2.59325913422914E-016</v>
      </c>
      <c r="AO187" s="0" t="n">
        <v>0.000105172210476</v>
      </c>
      <c r="AP187" s="0" t="n">
        <v>4.24489325938146</v>
      </c>
      <c r="AQ187" s="0" t="n">
        <v>0.0002024996347835</v>
      </c>
      <c r="AR187" s="0" t="n">
        <v>0.0001714560247835</v>
      </c>
      <c r="AS187" s="0" t="n">
        <v>0.877797029769405</v>
      </c>
      <c r="AT187" s="0" t="n">
        <v>6.52438694602989E-016</v>
      </c>
      <c r="AU187" s="3" t="n">
        <v>0.063028998488613</v>
      </c>
      <c r="AV187" s="0" t="n">
        <v>0.125214870441553</v>
      </c>
      <c r="AW187" s="0" t="n">
        <v>0.000188272398465</v>
      </c>
      <c r="AZ187" s="0" t="n">
        <v>0.259138892831334</v>
      </c>
      <c r="BA187" s="0" t="n">
        <v>0.240338892831334</v>
      </c>
      <c r="BC187" s="0" t="n">
        <v>0.255830228762556</v>
      </c>
      <c r="BD187" s="0" t="n">
        <v>0.237030228762556</v>
      </c>
      <c r="BE187" s="0" t="n">
        <v>0.107551315466166</v>
      </c>
      <c r="BF187" s="3" t="n">
        <v>0.068551315466166</v>
      </c>
      <c r="BG187" s="0" t="n">
        <v>0.0420721988778748</v>
      </c>
      <c r="BH187" s="0" t="n">
        <f aca="false">M187/BG187</f>
        <v>0.704222261637051</v>
      </c>
      <c r="BI187" s="0" t="n">
        <v>4.78843161231497E-017</v>
      </c>
      <c r="BJ187" s="0" t="n">
        <v>0.424432044530591</v>
      </c>
      <c r="BK187" s="0" t="n">
        <v>0.131749844916754</v>
      </c>
      <c r="BL187" s="0" t="n">
        <v>0.219412657404698</v>
      </c>
      <c r="BM187" s="0" t="n">
        <v>0.200612657404698</v>
      </c>
      <c r="BN187" s="0" t="e">
        <f aca="false">#REF!/#REF!</f>
        <v>#REF!</v>
      </c>
      <c r="BO187" s="20" t="n">
        <v>0.162028528905</v>
      </c>
    </row>
    <row r="188" customFormat="false" ht="12.8" hidden="false" customHeight="false" outlineLevel="0" collapsed="false">
      <c r="A188" s="0" t="s">
        <v>241</v>
      </c>
      <c r="B188" s="0" t="s">
        <v>50</v>
      </c>
      <c r="C188" s="21" t="s">
        <v>59</v>
      </c>
      <c r="D188" s="0" t="s">
        <v>187</v>
      </c>
      <c r="E188" s="0" t="n">
        <v>0.1312</v>
      </c>
      <c r="F188" s="0" t="n">
        <v>1.557</v>
      </c>
      <c r="G188" s="0" t="n">
        <v>330</v>
      </c>
      <c r="H188" s="0" t="n">
        <v>287</v>
      </c>
      <c r="I188" s="0" t="s">
        <v>53</v>
      </c>
      <c r="J188" s="0" t="n">
        <v>0</v>
      </c>
      <c r="K188" s="0" t="n">
        <v>0.128533</v>
      </c>
      <c r="L188" s="0" t="n">
        <v>0.0096345950443733</v>
      </c>
      <c r="M188" s="1" t="n">
        <v>0.0297608436444245</v>
      </c>
      <c r="N188" s="0" t="n">
        <v>0.232603815702923</v>
      </c>
      <c r="O188" s="0" t="n">
        <v>0.200124364614403</v>
      </c>
      <c r="P188" s="0" t="n">
        <v>0.168761744575933</v>
      </c>
      <c r="Q188" s="0" t="n">
        <v>0.248803595058984</v>
      </c>
      <c r="R188" s="19" t="n">
        <v>0.0676816294592</v>
      </c>
      <c r="S188" s="19" t="n">
        <v>0.0580470344148267</v>
      </c>
      <c r="T188" s="0" t="n">
        <v>9.27866796366667E-005</v>
      </c>
      <c r="U188" s="19" t="n">
        <v>0.00012060570641</v>
      </c>
      <c r="V188" s="19" t="n">
        <v>0.000154618331112667</v>
      </c>
      <c r="Z188" s="1"/>
      <c r="AA188" s="1"/>
      <c r="AB188" s="19"/>
      <c r="AJ188" s="0" t="n">
        <v>1.2735165763009</v>
      </c>
      <c r="AK188" s="0" t="n">
        <v>0.000182866577772</v>
      </c>
      <c r="AL188" s="0" t="n">
        <f aca="false">AK188-0.0000278190267733333</f>
        <v>0.000155047550998667</v>
      </c>
      <c r="AM188" s="0" t="n">
        <v>0.573091645285432</v>
      </c>
      <c r="AN188" s="0" t="n">
        <v>4.890804269E-011</v>
      </c>
      <c r="AO188" s="0" t="n">
        <v>9.27866796366667E-005</v>
      </c>
      <c r="AP188" s="0" t="n">
        <v>1.2735165763009</v>
      </c>
      <c r="AQ188" s="0" t="n">
        <v>0.000182437357886</v>
      </c>
      <c r="AR188" s="0" t="n">
        <v>0.000154618331112667</v>
      </c>
      <c r="AS188" s="0" t="n">
        <v>0.576040450483625</v>
      </c>
      <c r="AT188" s="0" t="n">
        <v>4.1146485007E-010</v>
      </c>
      <c r="AU188" s="3" t="n">
        <v>0.0532743466670098</v>
      </c>
      <c r="AV188" s="0" t="n">
        <v>0.00742040602719913</v>
      </c>
      <c r="AW188" s="0" t="n">
        <v>0.000187239709507667</v>
      </c>
      <c r="AZ188" s="0" t="n">
        <v>0.21300021425153</v>
      </c>
      <c r="BA188" s="0" t="n">
        <v>0.19420021425153</v>
      </c>
      <c r="BC188" s="0" t="n">
        <v>0.187561744575933</v>
      </c>
      <c r="BD188" s="0" t="n">
        <v>0.168761744575933</v>
      </c>
      <c r="BE188" s="0" t="n">
        <v>0.0984576261140899</v>
      </c>
      <c r="BF188" s="3" t="n">
        <v>0.0608576261140899</v>
      </c>
      <c r="BG188" s="0" t="n">
        <v>0.0369352224702769</v>
      </c>
      <c r="BH188" s="0" t="n">
        <f aca="false">M188/BG188</f>
        <v>0.805757801198412</v>
      </c>
      <c r="BI188" s="0" t="n">
        <v>2.3751079608274E-007</v>
      </c>
      <c r="BJ188" s="0" t="n">
        <v>0.572584702028545</v>
      </c>
      <c r="BK188" s="0" t="n">
        <v>0</v>
      </c>
      <c r="BL188" s="0" t="n">
        <v>0</v>
      </c>
      <c r="BM188" s="0" t="n">
        <v>0</v>
      </c>
      <c r="BN188" s="0" t="e">
        <f aca="false">#REF!/#REF!</f>
        <v>#REF!</v>
      </c>
      <c r="BO188" s="20" t="n">
        <v>0.057247753464</v>
      </c>
    </row>
    <row r="189" customFormat="false" ht="12.8" hidden="false" customHeight="false" outlineLevel="0" collapsed="false">
      <c r="A189" s="0" t="s">
        <v>242</v>
      </c>
      <c r="B189" s="0" t="s">
        <v>50</v>
      </c>
      <c r="C189" s="21" t="s">
        <v>59</v>
      </c>
      <c r="D189" s="0" t="s">
        <v>187</v>
      </c>
      <c r="E189" s="0" t="n">
        <v>0.150575</v>
      </c>
      <c r="F189" s="0" t="n">
        <v>1.75</v>
      </c>
      <c r="G189" s="0" t="n">
        <v>259</v>
      </c>
      <c r="H189" s="0" t="n">
        <v>217</v>
      </c>
      <c r="I189" s="0" t="s">
        <v>53</v>
      </c>
      <c r="J189" s="0" t="n">
        <v>0</v>
      </c>
      <c r="K189" s="0" t="n">
        <v>0.052237</v>
      </c>
      <c r="L189" s="0" t="n">
        <v>0.00756044439863657</v>
      </c>
      <c r="M189" s="1" t="n">
        <v>0.0351095283077333</v>
      </c>
      <c r="N189" s="0" t="n">
        <v>0.0683141358747409</v>
      </c>
      <c r="O189" s="0" t="n">
        <v>0.193039467983131</v>
      </c>
      <c r="P189" s="0" t="n">
        <v>0.150635298230225</v>
      </c>
      <c r="Q189" s="0" t="n">
        <v>0.154215149911376</v>
      </c>
      <c r="R189" s="19" t="n">
        <v>0.078607798078</v>
      </c>
      <c r="S189" s="19" t="n">
        <v>0.0710473536793634</v>
      </c>
      <c r="T189" s="0" t="n">
        <v>9.48105493046667E-005</v>
      </c>
      <c r="U189" s="19" t="n">
        <v>0.000122629576078</v>
      </c>
      <c r="V189" s="19" t="n">
        <v>0.000208388912967167</v>
      </c>
      <c r="Z189" s="1"/>
      <c r="AA189" s="1"/>
      <c r="AB189" s="19"/>
      <c r="AJ189" s="0" t="n">
        <v>2.88218498255999</v>
      </c>
      <c r="AK189" s="0" t="n">
        <v>0.000237418376537</v>
      </c>
      <c r="AL189" s="0" t="n">
        <f aca="false">AK189-0.0000278190267733333</f>
        <v>0.000209599349763667</v>
      </c>
      <c r="AM189" s="0" t="n">
        <v>0.827980263474169</v>
      </c>
      <c r="AN189" s="0" t="n">
        <v>4.3639577E-013</v>
      </c>
      <c r="AO189" s="0" t="n">
        <v>9.48105493046667E-005</v>
      </c>
      <c r="AP189" s="0" t="n">
        <v>2.98515779430232</v>
      </c>
      <c r="AQ189" s="0" t="n">
        <v>0.0002362079397405</v>
      </c>
      <c r="AR189" s="0" t="n">
        <v>0.000208388912967167</v>
      </c>
      <c r="AS189" s="0" t="n">
        <v>0.722225886959114</v>
      </c>
      <c r="AT189" s="0" t="n">
        <v>1.82429193E-012</v>
      </c>
      <c r="AU189" s="3" t="n">
        <v>0.064725130057257</v>
      </c>
      <c r="AV189" s="0" t="n">
        <v>0.0677811183229499</v>
      </c>
      <c r="AW189" s="0" t="n">
        <v>0.000134344712459667</v>
      </c>
      <c r="AZ189" s="0" t="n">
        <v>0.0555066070185838</v>
      </c>
      <c r="BA189" s="0" t="n">
        <v>0.0367066070185838</v>
      </c>
      <c r="BC189" s="0" t="n">
        <v>0.169435298230225</v>
      </c>
      <c r="BD189" s="0" t="n">
        <v>0.150635298230225</v>
      </c>
      <c r="BE189" s="0" t="n">
        <v>0.0956500321556916</v>
      </c>
      <c r="BF189" s="3" t="n">
        <v>0.0580500321556916</v>
      </c>
      <c r="BG189" s="0" t="n">
        <v>0.0486136065515937</v>
      </c>
      <c r="BH189" s="0" t="n">
        <f aca="false">M189/BG189</f>
        <v>0.722216078958707</v>
      </c>
      <c r="BI189" s="0" t="n">
        <v>2.5103604175365E-007</v>
      </c>
      <c r="BJ189" s="0" t="n">
        <v>0.605652467208361</v>
      </c>
      <c r="BK189" s="0" t="n">
        <v>0</v>
      </c>
      <c r="BL189" s="0" t="n">
        <v>0</v>
      </c>
      <c r="BM189" s="0" t="n">
        <v>0</v>
      </c>
      <c r="BN189" s="0" t="e">
        <f aca="false">#REF!/#REF!</f>
        <v>#REF!</v>
      </c>
      <c r="BO189" s="20" t="n">
        <v>0.0723285803884</v>
      </c>
    </row>
    <row r="190" customFormat="false" ht="12.8" hidden="false" customHeight="false" outlineLevel="0" collapsed="false">
      <c r="A190" s="0" t="s">
        <v>243</v>
      </c>
      <c r="B190" s="0" t="s">
        <v>50</v>
      </c>
      <c r="C190" s="0" t="s">
        <v>59</v>
      </c>
      <c r="D190" s="0" t="s">
        <v>187</v>
      </c>
      <c r="E190" s="0" t="n">
        <v>0.280275</v>
      </c>
      <c r="F190" s="0" t="n">
        <v>2.93625</v>
      </c>
      <c r="G190" s="0" t="n">
        <v>553</v>
      </c>
      <c r="H190" s="0" t="n">
        <v>511</v>
      </c>
      <c r="I190" s="0" t="s">
        <v>55</v>
      </c>
      <c r="J190" s="0" t="n">
        <v>0</v>
      </c>
      <c r="K190" s="0" t="n">
        <v>0.192457</v>
      </c>
      <c r="L190" s="0" t="n">
        <v>0.016143834739526</v>
      </c>
      <c r="M190" s="1" t="n">
        <v>0.0339458116709142</v>
      </c>
      <c r="N190" s="0" t="n">
        <v>0.390525145825927</v>
      </c>
      <c r="O190" s="0" t="n">
        <v>0.328479738289889</v>
      </c>
      <c r="P190" s="0" t="n">
        <v>0.216761712127777</v>
      </c>
      <c r="Q190" s="0" t="n">
        <v>0.504104598429585</v>
      </c>
      <c r="R190" s="19" t="n">
        <v>0.186682178792</v>
      </c>
      <c r="S190" s="19" t="n">
        <v>0.170538344052474</v>
      </c>
      <c r="T190" s="0" t="n">
        <v>0.000104190285498667</v>
      </c>
      <c r="U190" s="19" t="n">
        <v>0.000132009312272</v>
      </c>
      <c r="V190" s="19" t="n">
        <v>0.000274805487296167</v>
      </c>
      <c r="Z190" s="1"/>
      <c r="AA190" s="1"/>
      <c r="AB190" s="19"/>
      <c r="AJ190" s="0" t="n">
        <v>3.86118335971545</v>
      </c>
      <c r="AK190" s="0" t="n">
        <v>0</v>
      </c>
      <c r="AL190" s="0" t="n">
        <f aca="false">AK190-0.0000278190267733333</f>
        <v>-2.78190267733333E-005</v>
      </c>
      <c r="AM190" s="0" t="n">
        <v>100</v>
      </c>
      <c r="AN190" s="0" t="n">
        <v>0</v>
      </c>
      <c r="AO190" s="0" t="n">
        <v>0.000103867296250667</v>
      </c>
      <c r="AP190" s="0" t="n">
        <v>3.85381040850431</v>
      </c>
      <c r="AQ190" s="0" t="n">
        <v>0.0003026245140695</v>
      </c>
      <c r="AR190" s="0" t="n">
        <v>0.000274805487296167</v>
      </c>
      <c r="AS190" s="0" t="n">
        <v>0.716936797878274</v>
      </c>
      <c r="AT190" s="0" t="n">
        <v>2.65177463264213E-033</v>
      </c>
      <c r="AU190" s="3" t="n">
        <v>0.102983394694335</v>
      </c>
      <c r="AV190" s="0" t="n">
        <v>0.0116431391280481</v>
      </c>
      <c r="AW190" s="0" t="n">
        <v>0.000116126288298667</v>
      </c>
      <c r="AZ190" s="0" t="n">
        <v>0.266978150149294</v>
      </c>
      <c r="BA190" s="0" t="n">
        <v>0.247478150149294</v>
      </c>
      <c r="BC190" s="0" t="n">
        <v>0.236261712127777</v>
      </c>
      <c r="BD190" s="0" t="n">
        <v>0.216761712127777</v>
      </c>
      <c r="BE190" s="0" t="n">
        <v>0.134346582885121</v>
      </c>
      <c r="BF190" s="3" t="n">
        <v>0.096746582885121</v>
      </c>
      <c r="BG190" s="0" t="n">
        <v>0.0531941994727914</v>
      </c>
      <c r="BH190" s="0" t="n">
        <f aca="false">M190/BG190</f>
        <v>0.638148745678132</v>
      </c>
      <c r="BI190" s="0" t="n">
        <v>6.37325694346848E-023</v>
      </c>
      <c r="BJ190" s="0" t="n">
        <v>0.568742780813501</v>
      </c>
      <c r="BK190" s="0" t="n">
        <v>0</v>
      </c>
      <c r="BL190" s="0" t="n">
        <v>0</v>
      </c>
      <c r="BM190" s="0" t="n">
        <v>0</v>
      </c>
      <c r="BN190" s="0" t="e">
        <f aca="false">#REF!/#REF!</f>
        <v>#REF!</v>
      </c>
      <c r="BO190" s="20" t="n">
        <v>0.186134230844</v>
      </c>
    </row>
    <row r="191" customFormat="false" ht="12.8" hidden="false" customHeight="false" outlineLevel="0" collapsed="false">
      <c r="A191" s="0" t="s">
        <v>244</v>
      </c>
      <c r="B191" s="0" t="s">
        <v>50</v>
      </c>
      <c r="C191" s="21" t="s">
        <v>51</v>
      </c>
      <c r="D191" s="0" t="s">
        <v>187</v>
      </c>
      <c r="E191" s="0" t="n">
        <v>0.2342</v>
      </c>
      <c r="F191" s="0" t="n">
        <v>2.5795</v>
      </c>
      <c r="G191" s="0" t="n">
        <v>423</v>
      </c>
      <c r="H191" s="0" t="n">
        <v>367</v>
      </c>
      <c r="I191" s="0" t="s">
        <v>53</v>
      </c>
      <c r="J191" s="0" t="n">
        <v>0.0351128653</v>
      </c>
      <c r="K191" s="0" t="n">
        <v>0.041811</v>
      </c>
      <c r="L191" s="0" t="n">
        <v>0.0137602530507366</v>
      </c>
      <c r="M191" s="1" t="n">
        <v>0.032247641709471</v>
      </c>
      <c r="N191" s="0" t="n">
        <v>0.305443631881826</v>
      </c>
      <c r="O191" s="0" t="n">
        <v>0.385494575706814</v>
      </c>
      <c r="P191" s="0" t="n">
        <v>0.348492353700459</v>
      </c>
      <c r="Q191" s="0" t="n">
        <v>0.431641601213537</v>
      </c>
      <c r="R191" s="19" t="n">
        <v>0.140622710245</v>
      </c>
      <c r="S191" s="19" t="n">
        <v>0.126862457194263</v>
      </c>
      <c r="T191" s="0" t="n">
        <v>7.9987928869E-005</v>
      </c>
      <c r="U191" s="19" t="n">
        <v>0.000111031538869</v>
      </c>
      <c r="V191" s="19" t="n">
        <v>0.000193800855348</v>
      </c>
      <c r="Z191" s="1"/>
      <c r="AA191" s="1"/>
      <c r="AB191" s="19"/>
      <c r="AJ191" s="0" t="n">
        <v>1.89808290939442</v>
      </c>
      <c r="AK191" s="0" t="n">
        <v>0.000228637107511</v>
      </c>
      <c r="AL191" s="0" t="n">
        <f aca="false">AK191-0.00003104361</f>
        <v>0.000197593497511</v>
      </c>
      <c r="AM191" s="0" t="n">
        <v>1.75552314546311</v>
      </c>
      <c r="AN191" s="0" t="n">
        <v>9.41532709808348E-019</v>
      </c>
      <c r="AO191" s="0" t="n">
        <v>7.7267191314E-005</v>
      </c>
      <c r="AP191" s="0" t="n">
        <v>2.06863869643742</v>
      </c>
      <c r="AQ191" s="0" t="n">
        <v>0.000224844465348</v>
      </c>
      <c r="AR191" s="0" t="n">
        <v>0.000193800855348</v>
      </c>
      <c r="AS191" s="0" t="n">
        <v>1.86196545062005</v>
      </c>
      <c r="AT191" s="0" t="n">
        <v>8.49065414519454E-017</v>
      </c>
      <c r="AU191" s="3" t="n">
        <v>0.077342941479883</v>
      </c>
      <c r="AV191" s="0" t="n">
        <v>0.0826032096190354</v>
      </c>
      <c r="AW191" s="0" t="n">
        <v>0.000108931179881</v>
      </c>
      <c r="AZ191" s="0" t="n">
        <v>0.686888589799189</v>
      </c>
      <c r="BA191" s="0" t="n">
        <v>0.668088589799189</v>
      </c>
      <c r="BC191" s="0" t="n">
        <v>0.367292353700459</v>
      </c>
      <c r="BD191" s="0" t="n">
        <v>0.348492353700459</v>
      </c>
      <c r="BE191" s="0" t="n">
        <v>0.111049134685001</v>
      </c>
      <c r="BF191" s="3" t="n">
        <v>0.072049134685001</v>
      </c>
      <c r="BG191" s="0" t="n">
        <v>0.0529952158196082</v>
      </c>
      <c r="BH191" s="0" t="n">
        <f aca="false">M191/BG191</f>
        <v>0.608500997887047</v>
      </c>
      <c r="BI191" s="0" t="n">
        <v>5.6216626036627E-018</v>
      </c>
      <c r="BJ191" s="0" t="n">
        <v>0.299973355520207</v>
      </c>
      <c r="BK191" s="0" t="n">
        <v>0</v>
      </c>
      <c r="BL191" s="0" t="n">
        <v>0</v>
      </c>
      <c r="BM191" s="0" t="n">
        <v>0</v>
      </c>
      <c r="BN191" s="0" t="e">
        <f aca="false">#REF!/#REF!</f>
        <v>#REF!</v>
      </c>
      <c r="BO191" s="20" t="n">
        <v>0.1388813706</v>
      </c>
    </row>
    <row r="192" customFormat="false" ht="12.8" hidden="false" customHeight="false" outlineLevel="0" collapsed="false">
      <c r="A192" s="0" t="s">
        <v>245</v>
      </c>
      <c r="B192" s="0" t="s">
        <v>50</v>
      </c>
      <c r="C192" s="0" t="s">
        <v>59</v>
      </c>
      <c r="D192" s="0" t="s">
        <v>187</v>
      </c>
      <c r="E192" s="0" t="n">
        <v>0.15365</v>
      </c>
      <c r="F192" s="0" t="n">
        <v>1.8545</v>
      </c>
      <c r="G192" s="0" t="n">
        <v>387</v>
      </c>
      <c r="H192" s="0" t="n">
        <v>345</v>
      </c>
      <c r="I192" s="0" t="s">
        <v>53</v>
      </c>
      <c r="J192" s="0" t="n">
        <v>0</v>
      </c>
      <c r="K192" s="0" t="n">
        <v>0.066927</v>
      </c>
      <c r="L192" s="0" t="n">
        <v>0.0112983774202314</v>
      </c>
      <c r="M192" s="1" t="n">
        <v>0.0310111516916396</v>
      </c>
      <c r="N192" s="0" t="n">
        <v>0.209090370252624</v>
      </c>
      <c r="O192" s="0" t="n">
        <v>0.229161344237787</v>
      </c>
      <c r="P192" s="0" t="n">
        <v>0.167898323437096</v>
      </c>
      <c r="Q192" s="0" t="n">
        <v>0.211518815501097</v>
      </c>
      <c r="R192" s="19" t="n">
        <v>0.09817107546</v>
      </c>
      <c r="S192" s="19" t="n">
        <v>0.0868726980397686</v>
      </c>
      <c r="T192" s="0" t="n">
        <v>9.53944925766667E-005</v>
      </c>
      <c r="U192" s="19" t="n">
        <v>0.00012321351935</v>
      </c>
      <c r="V192" s="19" t="n">
        <v>0.000176671874908667</v>
      </c>
      <c r="Z192" s="1"/>
      <c r="AA192" s="1"/>
      <c r="AB192" s="19"/>
      <c r="AJ192" s="0" t="n">
        <v>100</v>
      </c>
      <c r="AK192" s="0" t="n">
        <v>0.0001987230657105</v>
      </c>
      <c r="AL192" s="0" t="n">
        <f aca="false">AK192-0.0000278190267733333</f>
        <v>0.000170904038937167</v>
      </c>
      <c r="AM192" s="0" t="n">
        <v>0.704709806023375</v>
      </c>
      <c r="AN192" s="0" t="n">
        <v>6.42131517145907E-017</v>
      </c>
      <c r="AO192" s="0" t="n">
        <v>9.53944925766667E-005</v>
      </c>
      <c r="AP192" s="0" t="n">
        <v>1.1372522585645</v>
      </c>
      <c r="AQ192" s="0" t="n">
        <v>0.000204490901682</v>
      </c>
      <c r="AR192" s="0" t="n">
        <v>0.000176671874908667</v>
      </c>
      <c r="AS192" s="0" t="n">
        <v>0.710681416811608</v>
      </c>
      <c r="AT192" s="0" t="n">
        <v>2.68635846076847E-017</v>
      </c>
      <c r="AU192" s="3" t="n">
        <v>0.063730459496106</v>
      </c>
      <c r="AV192" s="0" t="n">
        <v>0.168553328702325</v>
      </c>
      <c r="AW192" s="0" t="n">
        <v>0.000144772503539667</v>
      </c>
      <c r="AZ192" s="0" t="n">
        <v>0.27040244110726</v>
      </c>
      <c r="BA192" s="0" t="n">
        <v>0.25090244110726</v>
      </c>
      <c r="BC192" s="0" t="n">
        <v>0.187398323437096</v>
      </c>
      <c r="BD192" s="0" t="n">
        <v>0.167898323437096</v>
      </c>
      <c r="BE192" s="0" t="n">
        <v>0.110172044570834</v>
      </c>
      <c r="BF192" s="3" t="n">
        <v>0.072572044570834</v>
      </c>
      <c r="BG192" s="0" t="n">
        <v>0.0441834843884642</v>
      </c>
      <c r="BH192" s="0" t="n">
        <f aca="false">M192/BG192</f>
        <v>0.701872025732227</v>
      </c>
      <c r="BI192" s="0" t="n">
        <v>6.25448195980959E-015</v>
      </c>
      <c r="BJ192" s="0" t="n">
        <v>0.602226896478367</v>
      </c>
      <c r="BK192" s="0" t="n">
        <v>0</v>
      </c>
      <c r="BL192" s="0" t="n">
        <v>0</v>
      </c>
      <c r="BM192" s="0" t="n">
        <v>0</v>
      </c>
      <c r="BN192" s="0" t="e">
        <f aca="false">#REF!/#REF!</f>
        <v>#REF!</v>
      </c>
      <c r="BO192" s="20" t="n">
        <v>0.093433820716</v>
      </c>
    </row>
    <row r="193" customFormat="false" ht="12.8" hidden="false" customHeight="false" outlineLevel="0" collapsed="false">
      <c r="A193" s="0" t="s">
        <v>246</v>
      </c>
      <c r="B193" s="0" t="s">
        <v>50</v>
      </c>
      <c r="C193" s="0" t="s">
        <v>51</v>
      </c>
      <c r="D193" s="0" t="s">
        <v>187</v>
      </c>
      <c r="E193" s="0" t="n">
        <v>0.144</v>
      </c>
      <c r="F193" s="0" t="n">
        <v>1.70675</v>
      </c>
      <c r="G193" s="0" t="n">
        <v>259</v>
      </c>
      <c r="H193" s="0" t="n">
        <v>225</v>
      </c>
      <c r="I193" s="0" t="s">
        <v>53</v>
      </c>
      <c r="J193" s="0" t="n">
        <v>0.0263763331</v>
      </c>
      <c r="K193" s="0" t="n">
        <v>0.109132</v>
      </c>
      <c r="L193" s="0" t="n">
        <v>0.00842455684743002</v>
      </c>
      <c r="M193" s="1" t="n">
        <v>0.0275264837242902</v>
      </c>
      <c r="N193" s="0" t="n">
        <v>0.229577132439221</v>
      </c>
      <c r="O193" s="0" t="n">
        <v>0.17477162395637</v>
      </c>
      <c r="P193" s="0" t="n">
        <v>0.131700108208643</v>
      </c>
      <c r="Q193" s="0" t="n">
        <v>0.251473264960457</v>
      </c>
      <c r="R193" s="19" t="n">
        <v>0.0611842684435</v>
      </c>
      <c r="S193" s="19" t="n">
        <v>0.05275971159607</v>
      </c>
      <c r="T193" s="0" t="n">
        <v>8.1321837016E-005</v>
      </c>
      <c r="U193" s="19" t="n">
        <v>0.000112365447016</v>
      </c>
      <c r="V193" s="19" t="n">
        <v>0.0001263442374225</v>
      </c>
      <c r="Z193" s="1"/>
      <c r="AA193" s="1"/>
      <c r="AB193" s="19"/>
      <c r="AJ193" s="0" t="n">
        <v>100</v>
      </c>
      <c r="AK193" s="0" t="n">
        <v>0.0001573878474225</v>
      </c>
      <c r="AL193" s="0" t="n">
        <f aca="false">AK193-0.00003104361</f>
        <v>0.0001263442374225</v>
      </c>
      <c r="AM193" s="0" t="n">
        <v>0.715795080919544</v>
      </c>
      <c r="AN193" s="0" t="n">
        <v>5.495200836974E-007</v>
      </c>
      <c r="AO193" s="0" t="n">
        <v>8.1321837016E-005</v>
      </c>
      <c r="AP193" s="0" t="n">
        <v>1.305152576713</v>
      </c>
      <c r="AQ193" s="0" t="n">
        <v>0.0001573878474225</v>
      </c>
      <c r="AR193" s="0" t="n">
        <v>0.0001263442374225</v>
      </c>
      <c r="AS193" s="0" t="n">
        <v>0.715795080919544</v>
      </c>
      <c r="AT193" s="0" t="n">
        <v>1.09904016739481E-006</v>
      </c>
      <c r="AU193" s="3" t="n">
        <v>0.0590398891202921</v>
      </c>
      <c r="AV193" s="0" t="n">
        <v>0.129190144086406</v>
      </c>
      <c r="AW193" s="0" t="n">
        <v>0.000148052038347</v>
      </c>
      <c r="AZ193" s="0" t="n">
        <v>0.30504643823082</v>
      </c>
      <c r="BA193" s="0" t="n">
        <v>0.28554643823082</v>
      </c>
      <c r="BC193" s="0" t="n">
        <v>0.151200108208643</v>
      </c>
      <c r="BD193" s="0" t="n">
        <v>0.131700108208643</v>
      </c>
      <c r="BE193" s="0" t="n">
        <v>0.103406512579584</v>
      </c>
      <c r="BF193" s="3" t="n">
        <v>0.064406512579584</v>
      </c>
      <c r="BG193" s="0" t="n">
        <v>0.0400927288953675</v>
      </c>
      <c r="BH193" s="0" t="n">
        <f aca="false">M193/BG193</f>
        <v>0.686570470075205</v>
      </c>
      <c r="BI193" s="0" t="n">
        <v>6.68363691612E-009</v>
      </c>
      <c r="BJ193" s="0" t="n">
        <v>0.712990213913304</v>
      </c>
      <c r="BK193" s="0" t="n">
        <v>0.163313053473603</v>
      </c>
      <c r="BL193" s="0" t="n">
        <v>0.193284487356658</v>
      </c>
      <c r="BM193" s="0" t="n">
        <v>0.173784487356658</v>
      </c>
      <c r="BN193" s="0" t="e">
        <f aca="false">#REF!/#REF!</f>
        <v>#REF!</v>
      </c>
      <c r="BO193" s="20" t="n">
        <v>0.039845287599</v>
      </c>
    </row>
    <row r="194" customFormat="false" ht="12.8" hidden="false" customHeight="false" outlineLevel="0" collapsed="false">
      <c r="A194" s="0" t="s">
        <v>247</v>
      </c>
      <c r="B194" s="0" t="s">
        <v>50</v>
      </c>
      <c r="C194" s="0" t="s">
        <v>51</v>
      </c>
      <c r="D194" s="0" t="s">
        <v>187</v>
      </c>
      <c r="E194" s="0" t="n">
        <v>0.178575</v>
      </c>
      <c r="F194" s="0" t="n">
        <v>2.085</v>
      </c>
      <c r="G194" s="0" t="n">
        <v>397</v>
      </c>
      <c r="H194" s="0" t="n">
        <v>353</v>
      </c>
      <c r="I194" s="0" t="s">
        <v>53</v>
      </c>
      <c r="J194" s="0" t="n">
        <v>0.0275164135</v>
      </c>
      <c r="K194" s="0" t="n">
        <v>0.061378</v>
      </c>
      <c r="L194" s="0" t="n">
        <v>0.0128187526725317</v>
      </c>
      <c r="M194" s="1" t="n">
        <v>0.0286638671018886</v>
      </c>
      <c r="N194" s="0" t="n">
        <v>0.281764981209014</v>
      </c>
      <c r="O194" s="0" t="n">
        <v>0.209138330154033</v>
      </c>
      <c r="P194" s="0" t="n">
        <v>0.169778666691499</v>
      </c>
      <c r="Q194" s="0" t="n">
        <v>0.284616816943259</v>
      </c>
      <c r="R194" s="19" t="n">
        <v>0.083562358861</v>
      </c>
      <c r="S194" s="19" t="n">
        <v>0.0707436061884683</v>
      </c>
      <c r="T194" s="0" t="n">
        <v>8.8181451062E-005</v>
      </c>
      <c r="U194" s="19" t="n">
        <v>0.000119225061062</v>
      </c>
      <c r="V194" s="19" t="n">
        <v>0.00014141587153</v>
      </c>
      <c r="Z194" s="1"/>
      <c r="AA194" s="1"/>
      <c r="AB194" s="19"/>
      <c r="AJ194" s="0" t="n">
        <v>100</v>
      </c>
      <c r="AK194" s="0" t="n">
        <v>0.0001733207912955</v>
      </c>
      <c r="AL194" s="0" t="n">
        <f aca="false">AK194-0.00003104361</f>
        <v>0.0001422771812955</v>
      </c>
      <c r="AM194" s="0" t="n">
        <v>0.746087012727094</v>
      </c>
      <c r="AN194" s="0" t="n">
        <v>1.1933981086E-010</v>
      </c>
      <c r="AO194" s="0" t="n">
        <v>8.8135759694E-005</v>
      </c>
      <c r="AP194" s="0" t="n">
        <v>0.740687330634147</v>
      </c>
      <c r="AQ194" s="0" t="n">
        <v>0.00017245948153</v>
      </c>
      <c r="AR194" s="0" t="n">
        <v>0.00014141587153</v>
      </c>
      <c r="AS194" s="0" t="n">
        <v>0.778757531533267</v>
      </c>
      <c r="AT194" s="0" t="n">
        <v>2.2351088383E-010</v>
      </c>
      <c r="AU194" s="3" t="n">
        <v>0.0558536568291203</v>
      </c>
      <c r="AV194" s="0" t="n">
        <v>4.98231807116405E-005</v>
      </c>
      <c r="AW194" s="0" t="n">
        <v>0.000211918388149</v>
      </c>
      <c r="AZ194" s="0" t="n">
        <v>0.332495909646409</v>
      </c>
      <c r="BA194" s="0" t="n">
        <v>0.312995909646409</v>
      </c>
      <c r="BC194" s="0" t="n">
        <v>0.189278666691499</v>
      </c>
      <c r="BD194" s="0" t="n">
        <v>0.169778666691499</v>
      </c>
      <c r="BE194" s="0" t="n">
        <v>0.106506064748363</v>
      </c>
      <c r="BF194" s="3" t="n">
        <v>0.067506064748363</v>
      </c>
      <c r="BG194" s="0" t="n">
        <v>0.0385062695490786</v>
      </c>
      <c r="BH194" s="0" t="n">
        <f aca="false">M194/BG194</f>
        <v>0.744394807327538</v>
      </c>
      <c r="BI194" s="0" t="n">
        <v>2.356510633321E-008</v>
      </c>
      <c r="BJ194" s="0" t="n">
        <v>0.559333020499969</v>
      </c>
      <c r="BK194" s="0" t="n">
        <v>0.174684308245663</v>
      </c>
      <c r="BL194" s="0" t="n">
        <v>0.200924679072246</v>
      </c>
      <c r="BM194" s="0" t="n">
        <v>0.181424679072246</v>
      </c>
      <c r="BN194" s="0" t="e">
        <f aca="false">#REF!/#REF!</f>
        <v>#REF!</v>
      </c>
      <c r="BO194" s="20" t="n">
        <v>0.072271412162</v>
      </c>
    </row>
    <row r="195" customFormat="false" ht="12.8" hidden="false" customHeight="false" outlineLevel="0" collapsed="false">
      <c r="A195" s="0" t="s">
        <v>248</v>
      </c>
      <c r="B195" s="0" t="s">
        <v>50</v>
      </c>
      <c r="C195" s="0" t="s">
        <v>51</v>
      </c>
      <c r="D195" s="0" t="s">
        <v>187</v>
      </c>
      <c r="E195" s="0" t="n">
        <v>0.427625</v>
      </c>
      <c r="F195" s="0" t="n">
        <v>3.32675</v>
      </c>
      <c r="G195" s="0" t="n">
        <v>1606</v>
      </c>
      <c r="H195" s="0" t="n">
        <v>1524</v>
      </c>
      <c r="I195" s="0" t="s">
        <v>53</v>
      </c>
      <c r="J195" s="0" t="n">
        <v>0.08500581197</v>
      </c>
      <c r="K195" s="0" t="n">
        <v>0.213686</v>
      </c>
      <c r="L195" s="0" t="n">
        <v>0.0522482227267963</v>
      </c>
      <c r="M195" s="1" t="n">
        <v>0.0203963308147906</v>
      </c>
      <c r="N195" s="0" t="n">
        <v>0.280399188070618</v>
      </c>
      <c r="O195" s="0" t="n">
        <v>0.300401055646028</v>
      </c>
      <c r="P195" s="0" t="n">
        <v>0.259625476065472</v>
      </c>
      <c r="Q195" s="0" t="n">
        <v>0.324441561628589</v>
      </c>
      <c r="R195" s="19" t="n">
        <v>0.253217529245</v>
      </c>
      <c r="S195" s="19" t="n">
        <v>0.200969306518204</v>
      </c>
      <c r="T195" s="0" t="n">
        <v>7.122295665E-005</v>
      </c>
      <c r="U195" s="19" t="n">
        <v>0.00010226656665</v>
      </c>
      <c r="V195" s="19" t="n">
        <v>8.9202920434E-005</v>
      </c>
      <c r="Z195" s="1"/>
      <c r="AA195" s="1"/>
      <c r="AB195" s="19"/>
      <c r="AJ195" s="0" t="n">
        <v>100</v>
      </c>
      <c r="AK195" s="0" t="n">
        <v>0.0001210889276585</v>
      </c>
      <c r="AL195" s="0" t="n">
        <f aca="false">AK195-0.00003104361</f>
        <v>9.00453176585E-005</v>
      </c>
      <c r="AM195" s="0" t="n">
        <v>0.735671690515777</v>
      </c>
      <c r="AN195" s="0" t="n">
        <v>1.93706767821813E-020</v>
      </c>
      <c r="AO195" s="0" t="n">
        <v>7.12015959195E-005</v>
      </c>
      <c r="AP195" s="0" t="n">
        <v>1.39893691354855</v>
      </c>
      <c r="AQ195" s="0" t="n">
        <v>0.000120246530434</v>
      </c>
      <c r="AR195" s="0" t="n">
        <v>8.9202920434E-005</v>
      </c>
      <c r="AS195" s="0" t="n">
        <v>0.745949339840253</v>
      </c>
      <c r="AT195" s="0" t="n">
        <v>7.62770757817329E-019</v>
      </c>
      <c r="AU195" s="3" t="n">
        <v>0.089782501619774</v>
      </c>
      <c r="AV195" s="0" t="n">
        <v>0.0777015286369029</v>
      </c>
      <c r="AW195" s="0" t="n">
        <v>0.000241789151701</v>
      </c>
      <c r="AZ195" s="0" t="n">
        <v>0.270858586235525</v>
      </c>
      <c r="BA195" s="0" t="n">
        <v>0.251358586235525</v>
      </c>
      <c r="BC195" s="0" t="n">
        <v>0.279125476065472</v>
      </c>
      <c r="BD195" s="0" t="n">
        <v>0.259625476065472</v>
      </c>
      <c r="BE195" s="0" t="n">
        <v>0.135221771590898</v>
      </c>
      <c r="BF195" s="3" t="n">
        <v>0.096221771590898</v>
      </c>
      <c r="BG195" s="0" t="n">
        <v>0.0287268387800224</v>
      </c>
      <c r="BH195" s="0" t="n">
        <f aca="false">M195/BG195</f>
        <v>0.710009582710329</v>
      </c>
      <c r="BI195" s="0" t="n">
        <v>1.94199631895519E-047</v>
      </c>
      <c r="BJ195" s="0" t="n">
        <v>0.484404908100186</v>
      </c>
      <c r="BK195" s="0" t="n">
        <v>0.193253300605895</v>
      </c>
      <c r="BL195" s="0" t="n">
        <v>0.158172872614667</v>
      </c>
      <c r="BM195" s="0" t="n">
        <v>0.138672872614667</v>
      </c>
      <c r="BN195" s="0" t="e">
        <f aca="false">#REF!/#REF!</f>
        <v>#REF!</v>
      </c>
      <c r="BO195" s="20" t="n">
        <v>0.227180284265</v>
      </c>
    </row>
    <row r="196" customFormat="false" ht="12.8" hidden="false" customHeight="false" outlineLevel="0" collapsed="false">
      <c r="A196" s="0" t="s">
        <v>249</v>
      </c>
      <c r="B196" s="0" t="s">
        <v>50</v>
      </c>
      <c r="C196" s="0" t="s">
        <v>51</v>
      </c>
      <c r="D196" s="0" t="s">
        <v>187</v>
      </c>
      <c r="E196" s="0" t="n">
        <v>0.23635</v>
      </c>
      <c r="F196" s="0" t="n">
        <v>2.3325</v>
      </c>
      <c r="G196" s="0" t="n">
        <v>462</v>
      </c>
      <c r="H196" s="0" t="n">
        <v>403</v>
      </c>
      <c r="I196" s="0" t="s">
        <v>53</v>
      </c>
      <c r="J196" s="0" t="n">
        <v>0.0316543356</v>
      </c>
      <c r="K196" s="0" t="n">
        <v>0.056646</v>
      </c>
      <c r="L196" s="0" t="n">
        <v>0.0150306089994589</v>
      </c>
      <c r="M196" s="1" t="n">
        <v>0.0260724301008269</v>
      </c>
      <c r="N196" s="0" t="n">
        <v>0.274910171498654</v>
      </c>
      <c r="O196" s="0" t="n">
        <v>0.226987301677915</v>
      </c>
      <c r="P196" s="0" t="n">
        <v>0.182189467201071</v>
      </c>
      <c r="Q196" s="0" t="n">
        <v>0.265889239825257</v>
      </c>
      <c r="R196" s="19" t="n">
        <v>0.086055746565</v>
      </c>
      <c r="S196" s="19" t="n">
        <v>0.0710251375655411</v>
      </c>
      <c r="T196" s="0" t="n">
        <v>8.8784742448E-005</v>
      </c>
      <c r="U196" s="19" t="n">
        <v>0.000119828352448</v>
      </c>
      <c r="V196" s="19" t="n">
        <v>0.000110439571481</v>
      </c>
      <c r="Z196" s="1"/>
      <c r="AA196" s="1"/>
      <c r="AB196" s="19"/>
      <c r="AJ196" s="0" t="n">
        <v>1.86912139625395</v>
      </c>
      <c r="AK196" s="0" t="n">
        <v>0.000141483181481</v>
      </c>
      <c r="AL196" s="0" t="n">
        <f aca="false">AK196-0.00003104361</f>
        <v>0.000110439571481</v>
      </c>
      <c r="AM196" s="0" t="n">
        <v>0.685039838115133</v>
      </c>
      <c r="AN196" s="0" t="n">
        <v>0.000939699361003862</v>
      </c>
      <c r="AO196" s="0" t="n">
        <v>8.8784742448E-005</v>
      </c>
      <c r="AP196" s="0" t="n">
        <v>1.86912139625395</v>
      </c>
      <c r="AQ196" s="0" t="n">
        <v>0.000141483181481</v>
      </c>
      <c r="AR196" s="0" t="n">
        <v>0.000110439571481</v>
      </c>
      <c r="AS196" s="0" t="n">
        <v>0.685039838115133</v>
      </c>
      <c r="AT196" s="0" t="n">
        <v>0.00187939872200772</v>
      </c>
      <c r="AU196" s="3" t="n">
        <v>0.04920009142371</v>
      </c>
      <c r="AV196" s="0" t="n">
        <v>0.106206660544182</v>
      </c>
      <c r="AW196" s="0" t="n">
        <v>0.000239435840187</v>
      </c>
      <c r="AZ196" s="0" t="n">
        <v>0.346209344805406</v>
      </c>
      <c r="BA196" s="0" t="n">
        <v>0.326709344805406</v>
      </c>
      <c r="BC196" s="0" t="n">
        <v>0.201689467201071</v>
      </c>
      <c r="BD196" s="0" t="n">
        <v>0.182189467201071</v>
      </c>
      <c r="BE196" s="0" t="n">
        <v>0.0965156234186187</v>
      </c>
      <c r="BF196" s="3" t="n">
        <v>0.0575156234186187</v>
      </c>
      <c r="BG196" s="0" t="n">
        <v>0.0328899163732498</v>
      </c>
      <c r="BH196" s="0" t="n">
        <f aca="false">M196/BG196</f>
        <v>0.792718041753133</v>
      </c>
      <c r="BI196" s="0" t="n">
        <v>9.61912387025241E-006</v>
      </c>
      <c r="BJ196" s="0" t="n">
        <v>0.471537016171931</v>
      </c>
      <c r="BK196" s="0" t="n">
        <v>0.130980798801364</v>
      </c>
      <c r="BL196" s="0" t="n">
        <v>0.149991672594681</v>
      </c>
      <c r="BM196" s="0" t="n">
        <v>0.130491672594681</v>
      </c>
      <c r="BN196" s="0" t="e">
        <f aca="false">#REF!/#REF!</f>
        <v>#REF!</v>
      </c>
      <c r="BO196" s="20" t="n">
        <v>0.07039907242</v>
      </c>
    </row>
    <row r="197" customFormat="false" ht="12.8" hidden="false" customHeight="false" outlineLevel="0" collapsed="false">
      <c r="A197" s="0" t="s">
        <v>250</v>
      </c>
      <c r="B197" s="0" t="s">
        <v>50</v>
      </c>
      <c r="C197" s="0" t="s">
        <v>51</v>
      </c>
      <c r="D197" s="0" t="s">
        <v>187</v>
      </c>
      <c r="E197" s="0" t="n">
        <v>0.17455</v>
      </c>
      <c r="F197" s="0" t="n">
        <v>1.91925</v>
      </c>
      <c r="G197" s="0" t="n">
        <v>205</v>
      </c>
      <c r="H197" s="0" t="n">
        <v>168</v>
      </c>
      <c r="I197" s="0" t="s">
        <v>53</v>
      </c>
      <c r="J197" s="0" t="n">
        <v>0.0297426526</v>
      </c>
      <c r="K197" s="0" t="n">
        <v>0.064027</v>
      </c>
      <c r="L197" s="0" t="n">
        <v>0.00667302575253834</v>
      </c>
      <c r="M197" s="1" t="n">
        <v>0.0391719564696274</v>
      </c>
      <c r="N197" s="0" t="n">
        <v>0.232782841315566</v>
      </c>
      <c r="O197" s="0" t="n">
        <v>0.208755411968837</v>
      </c>
      <c r="P197" s="0" t="n">
        <v>0.167544626726808</v>
      </c>
      <c r="Q197" s="0" t="n">
        <v>0.226829499751553</v>
      </c>
      <c r="R197" s="19" t="n">
        <v>0.062956595609</v>
      </c>
      <c r="S197" s="19" t="n">
        <v>0.0562835698564617</v>
      </c>
      <c r="T197" s="0" t="n">
        <v>0.000100213151786</v>
      </c>
      <c r="U197" s="19" t="n">
        <v>0.000131256761786</v>
      </c>
      <c r="V197" s="19" t="n">
        <v>0.000179299359081</v>
      </c>
      <c r="Z197" s="1"/>
      <c r="AA197" s="1"/>
      <c r="AB197" s="19"/>
      <c r="AJ197" s="0" t="n">
        <v>1.1453353256001</v>
      </c>
      <c r="AK197" s="0" t="n">
        <v>0.000210342969081</v>
      </c>
      <c r="AL197" s="0" t="n">
        <f aca="false">AK197-0.00003104361</f>
        <v>0.000179299359081</v>
      </c>
      <c r="AM197" s="0" t="n">
        <v>0.127351863945566</v>
      </c>
      <c r="AN197" s="0" t="n">
        <v>0.00463142678641258</v>
      </c>
      <c r="AO197" s="0" t="n">
        <v>0.000100213151786</v>
      </c>
      <c r="AP197" s="0" t="n">
        <v>1.1453353256001</v>
      </c>
      <c r="AQ197" s="0" t="n">
        <v>0.000210342969081</v>
      </c>
      <c r="AR197" s="0" t="n">
        <v>0.000179299359081</v>
      </c>
      <c r="AS197" s="0" t="n">
        <v>-0.00946920197970316</v>
      </c>
      <c r="AT197" s="0" t="n">
        <v>0.00673079967673382</v>
      </c>
      <c r="AU197" s="3" t="n">
        <v>0.0473761967080914</v>
      </c>
      <c r="AV197" s="0" t="n">
        <v>0.00432563046893182</v>
      </c>
      <c r="AW197" s="0" t="n">
        <v>0.000143982581137</v>
      </c>
      <c r="AZ197" s="0" t="n">
        <v>0.280453969748648</v>
      </c>
      <c r="BA197" s="0" t="n">
        <v>0.260953969748648</v>
      </c>
      <c r="BC197" s="0" t="n">
        <v>0.187044626726808</v>
      </c>
      <c r="BD197" s="0" t="n">
        <v>0.167544626726808</v>
      </c>
      <c r="BE197" s="0" t="n">
        <v>0.0793862939770004</v>
      </c>
      <c r="BF197" s="3" t="n">
        <v>0.0403862939770004</v>
      </c>
      <c r="BG197" s="0" t="n">
        <v>0.0532684416127573</v>
      </c>
      <c r="BH197" s="0" t="n">
        <f aca="false">M197/BG197</f>
        <v>0.73536892170403</v>
      </c>
      <c r="BI197" s="0" t="n">
        <v>3.03512600647787E-005</v>
      </c>
      <c r="BJ197" s="0" t="n">
        <v>0.425100721188687</v>
      </c>
      <c r="BK197" s="0" t="n">
        <v>0.0625891973904971</v>
      </c>
      <c r="BL197" s="0" t="n">
        <v>0.102684464380799</v>
      </c>
      <c r="BM197" s="0" t="n">
        <v>0.083184464380799</v>
      </c>
      <c r="BN197" s="0" t="e">
        <f aca="false">#REF!/#REF!</f>
        <v>#REF!</v>
      </c>
      <c r="BO197" s="20" t="n">
        <v>0.0598745087865</v>
      </c>
    </row>
    <row r="198" customFormat="false" ht="12.8" hidden="false" customHeight="false" outlineLevel="0" collapsed="false">
      <c r="A198" s="0" t="s">
        <v>251</v>
      </c>
      <c r="B198" s="0" t="s">
        <v>50</v>
      </c>
      <c r="C198" s="0" t="s">
        <v>51</v>
      </c>
      <c r="D198" s="0" t="s">
        <v>187</v>
      </c>
      <c r="E198" s="0" t="n">
        <v>0.56425</v>
      </c>
      <c r="F198" s="0" t="n">
        <v>4.85025</v>
      </c>
      <c r="G198" s="0" t="n">
        <v>905</v>
      </c>
      <c r="H198" s="0" t="n">
        <v>857</v>
      </c>
      <c r="I198" s="0" t="s">
        <v>55</v>
      </c>
      <c r="J198" s="0" t="n">
        <v>0.10835867</v>
      </c>
      <c r="K198" s="0" t="n">
        <v>0.1414496</v>
      </c>
      <c r="L198" s="0" t="n">
        <v>0.0294379196389625</v>
      </c>
      <c r="M198" s="1" t="n">
        <v>0.0244781877312644</v>
      </c>
      <c r="N198" s="0" t="n">
        <v>0.35241120194118</v>
      </c>
      <c r="O198" s="0" t="n">
        <v>0.483719671631644</v>
      </c>
      <c r="P198" s="0" t="n">
        <v>0.264523735977738</v>
      </c>
      <c r="Q198" s="0" t="n">
        <v>0.553220656423298</v>
      </c>
      <c r="R198" s="19" t="n">
        <v>0.328855612255</v>
      </c>
      <c r="S198" s="19" t="n">
        <v>0.299417692616037</v>
      </c>
      <c r="T198" s="0" t="n">
        <v>7.172151446E-005</v>
      </c>
      <c r="U198" s="19" t="n">
        <v>0.00010276512446</v>
      </c>
      <c r="V198" s="19" t="n">
        <v>0</v>
      </c>
      <c r="Z198" s="1"/>
      <c r="AA198" s="1"/>
      <c r="AB198" s="19"/>
      <c r="AJ198" s="0" t="n">
        <v>5.08242175442472</v>
      </c>
      <c r="AK198" s="0" t="n">
        <v>0.0003173005319205</v>
      </c>
      <c r="AL198" s="0" t="n">
        <f aca="false">AK198-0.00003104361</f>
        <v>0.0002862569219205</v>
      </c>
      <c r="AM198" s="0" t="n">
        <v>100</v>
      </c>
      <c r="AN198" s="0" t="n">
        <v>1.71836274352836E-056</v>
      </c>
      <c r="AO198" s="0" t="n">
        <v>6.86765469991E-005</v>
      </c>
      <c r="AP198" s="0" t="n">
        <v>2.89054167876621</v>
      </c>
      <c r="AQ198" s="0" t="n">
        <v>0</v>
      </c>
      <c r="AR198" s="0" t="n">
        <v>-3.104361E-005</v>
      </c>
      <c r="AS198" s="0" t="n">
        <v>100</v>
      </c>
      <c r="AT198" s="0" t="n">
        <v>4.17158848889159E-033</v>
      </c>
      <c r="AU198" s="3" t="n">
        <v>0.183680293903057</v>
      </c>
      <c r="AV198" s="0" t="n">
        <v>0.00466467818082551</v>
      </c>
      <c r="AW198" s="0" t="n">
        <v>8.917769943E-005</v>
      </c>
      <c r="AZ198" s="0" t="n">
        <v>0.126306930309177</v>
      </c>
      <c r="BA198" s="0" t="n">
        <v>0.106806930309177</v>
      </c>
      <c r="BC198" s="0" t="n">
        <v>0.284023735977738</v>
      </c>
      <c r="BD198" s="0" t="n">
        <v>0.264523735977738</v>
      </c>
      <c r="BE198" s="0" t="n">
        <v>0.213966902827867</v>
      </c>
      <c r="BF198" s="3" t="n">
        <v>0.174966902827867</v>
      </c>
      <c r="BG198" s="0" t="n">
        <v>0.0619449077685895</v>
      </c>
      <c r="BH198" s="0" t="n">
        <f aca="false">M198/BG198</f>
        <v>0.395160613083947</v>
      </c>
      <c r="BI198" s="0" t="n">
        <v>8.11995561253805E-103</v>
      </c>
      <c r="BJ198" s="0" t="n">
        <v>0.757855503894417</v>
      </c>
      <c r="BK198" s="0" t="n">
        <v>0.175545597566239</v>
      </c>
      <c r="BL198" s="0" t="n">
        <v>0.151978077212645</v>
      </c>
      <c r="BM198" s="0" t="n">
        <v>0.132478077212645</v>
      </c>
      <c r="BN198" s="0" t="e">
        <f aca="false">#REF!/#REF!</f>
        <v>#REF!</v>
      </c>
      <c r="BO198" s="20" t="n">
        <v>0.31447175372</v>
      </c>
    </row>
    <row r="199" customFormat="false" ht="12.8" hidden="false" customHeight="false" outlineLevel="0" collapsed="false">
      <c r="A199" s="0" t="s">
        <v>252</v>
      </c>
      <c r="B199" s="0" t="s">
        <v>50</v>
      </c>
      <c r="C199" s="21" t="s">
        <v>51</v>
      </c>
      <c r="D199" s="0" t="s">
        <v>187</v>
      </c>
      <c r="E199" s="0" t="n">
        <v>0.29485</v>
      </c>
      <c r="F199" s="0" t="n">
        <v>3.219</v>
      </c>
      <c r="G199" s="0" t="n">
        <v>700</v>
      </c>
      <c r="H199" s="0" t="n">
        <v>649</v>
      </c>
      <c r="I199" s="0" t="s">
        <v>55</v>
      </c>
      <c r="J199" s="0" t="n">
        <v>0.0455823317</v>
      </c>
      <c r="K199" s="0" t="n">
        <v>0.1406895</v>
      </c>
      <c r="L199" s="0" t="n">
        <v>0.0227720959141635</v>
      </c>
      <c r="M199" s="1" t="n">
        <v>0.0262697950922283</v>
      </c>
      <c r="N199" s="0" t="n">
        <v>0.236939292391073</v>
      </c>
      <c r="O199" s="0" t="n">
        <v>0.47915358599653</v>
      </c>
      <c r="P199" s="0" t="n">
        <v>0.378824113951622</v>
      </c>
      <c r="Q199" s="0" t="n">
        <v>0.274305834101831</v>
      </c>
      <c r="R199" s="19" t="n">
        <v>0.18675514208</v>
      </c>
      <c r="S199" s="19" t="n">
        <v>0.163983046165837</v>
      </c>
      <c r="T199" s="0" t="n">
        <v>7.5798855914E-005</v>
      </c>
      <c r="U199" s="19" t="n">
        <v>0.000106842465914</v>
      </c>
      <c r="V199" s="19" t="n">
        <v>0.000162169489795</v>
      </c>
      <c r="Z199" s="1"/>
      <c r="AA199" s="1"/>
      <c r="AB199" s="19"/>
      <c r="AJ199" s="0" t="n">
        <v>2.70656661826692</v>
      </c>
      <c r="AK199" s="0" t="n">
        <v>0.000244055853837</v>
      </c>
      <c r="AL199" s="0" t="n">
        <f aca="false">AK199-0.00003104361</f>
        <v>0.000213012243837</v>
      </c>
      <c r="AM199" s="0" t="n">
        <v>0.823109374676258</v>
      </c>
      <c r="AN199" s="0" t="n">
        <v>5.72577747806024E-049</v>
      </c>
      <c r="AO199" s="0" t="n">
        <v>7.3048112959E-005</v>
      </c>
      <c r="AP199" s="0" t="n">
        <v>2.70762448186657</v>
      </c>
      <c r="AQ199" s="0" t="n">
        <v>0.000193213099795</v>
      </c>
      <c r="AR199" s="0" t="n">
        <v>0.000162169489795</v>
      </c>
      <c r="AS199" s="0" t="n">
        <v>0.978209559720431</v>
      </c>
      <c r="AT199" s="0" t="n">
        <v>0.0437515433962076</v>
      </c>
      <c r="AU199" s="3" t="n">
        <v>0.088812710073786</v>
      </c>
      <c r="AV199" s="0" t="n">
        <v>0.385183114306688</v>
      </c>
      <c r="AW199" s="0" t="n">
        <v>0.000140386472642</v>
      </c>
      <c r="AZ199" s="0" t="n">
        <v>0.245813529960636</v>
      </c>
      <c r="BA199" s="0" t="n">
        <v>0.227013529960636</v>
      </c>
      <c r="BC199" s="0" t="n">
        <v>0.397624113951622</v>
      </c>
      <c r="BD199" s="0" t="n">
        <v>0.378824113951622</v>
      </c>
      <c r="BE199" s="0" t="n">
        <v>0.125869310202008</v>
      </c>
      <c r="BF199" s="3" t="n">
        <v>0.086869310202008</v>
      </c>
      <c r="BG199" s="0" t="n">
        <v>0.048381352342547</v>
      </c>
      <c r="BH199" s="0" t="n">
        <f aca="false">M199/BG199</f>
        <v>0.542973559445679</v>
      </c>
      <c r="BI199" s="0" t="n">
        <v>3.40384386962459E-044</v>
      </c>
      <c r="BJ199" s="0" t="n">
        <v>0.311592997607675</v>
      </c>
      <c r="BK199" s="0" t="n">
        <v>0.0827298114379581</v>
      </c>
      <c r="BL199" s="0" t="n">
        <v>0.181169226727648</v>
      </c>
      <c r="BM199" s="0" t="n">
        <v>0.162369226727648</v>
      </c>
      <c r="BN199" s="0" t="e">
        <f aca="false">#REF!/#REF!</f>
        <v>#REF!</v>
      </c>
      <c r="BO199" s="20" t="n">
        <v>0.16528179906</v>
      </c>
    </row>
    <row r="200" customFormat="false" ht="12.8" hidden="false" customHeight="false" outlineLevel="0" collapsed="false">
      <c r="A200" s="0" t="s">
        <v>253</v>
      </c>
      <c r="B200" s="0" t="s">
        <v>50</v>
      </c>
      <c r="C200" s="0" t="s">
        <v>59</v>
      </c>
      <c r="D200" s="0" t="s">
        <v>187</v>
      </c>
      <c r="E200" s="0" t="n">
        <v>0.0483</v>
      </c>
      <c r="F200" s="0" t="n">
        <v>0.746275</v>
      </c>
      <c r="G200" s="0" t="n">
        <v>208</v>
      </c>
      <c r="H200" s="0" t="n">
        <v>169</v>
      </c>
      <c r="I200" s="0" t="s">
        <v>53</v>
      </c>
      <c r="J200" s="0" t="n">
        <v>0</v>
      </c>
      <c r="K200" s="0" t="n">
        <v>0.026407</v>
      </c>
      <c r="L200" s="0" t="n">
        <v>0.00604179314791382</v>
      </c>
      <c r="M200" s="1" t="n">
        <v>0.0205261567643598</v>
      </c>
      <c r="N200" s="0" t="n">
        <v>0.163973756665101</v>
      </c>
      <c r="O200" s="0" t="n">
        <v>0.139943124703675</v>
      </c>
      <c r="P200" s="0" t="n">
        <v>0.113709927358852</v>
      </c>
      <c r="Q200" s="0" t="n">
        <v>0.177781216054589</v>
      </c>
      <c r="R200" s="19" t="n">
        <v>0.0246615897244</v>
      </c>
      <c r="S200" s="19" t="n">
        <v>0.0186197965764862</v>
      </c>
      <c r="T200" s="0" t="n">
        <v>5.01042855921667E-005</v>
      </c>
      <c r="U200" s="19" t="n">
        <v>7.79233123655E-005</v>
      </c>
      <c r="V200" s="19" t="n">
        <v>6.29323962377667E-005</v>
      </c>
      <c r="Z200" s="1"/>
      <c r="AA200" s="1"/>
      <c r="AB200" s="19"/>
      <c r="AJ200" s="0" t="n">
        <v>1.41596927187308</v>
      </c>
      <c r="AK200" s="0" t="n">
        <v>9.07514230111E-005</v>
      </c>
      <c r="AL200" s="0" t="n">
        <f aca="false">AK200-0.0000278190267733333</f>
        <v>6.29323962377667E-005</v>
      </c>
      <c r="AM200" s="0" t="n">
        <v>0.638343776812286</v>
      </c>
      <c r="AN200" s="0" t="n">
        <v>0.0218757716981038</v>
      </c>
      <c r="AO200" s="0" t="n">
        <v>5.01042855921667E-005</v>
      </c>
      <c r="AP200" s="0" t="n">
        <v>1.41596927187308</v>
      </c>
      <c r="AQ200" s="0" t="n">
        <v>9.07514230111E-005</v>
      </c>
      <c r="AR200" s="0" t="n">
        <v>6.29323962377667E-005</v>
      </c>
      <c r="AS200" s="0" t="n">
        <v>0.638343776812286</v>
      </c>
      <c r="AT200" s="0" t="n">
        <v>1.19755056074252E-032</v>
      </c>
      <c r="AU200" s="3" t="n">
        <v>0.0287252491295033</v>
      </c>
      <c r="AV200" s="0" t="n">
        <v>0.150512850322494</v>
      </c>
      <c r="AW200" s="0" t="n">
        <v>0.000220197994570167</v>
      </c>
      <c r="AZ200" s="0" t="n">
        <v>0.193549679753816</v>
      </c>
      <c r="BA200" s="0" t="n">
        <v>0.174049679753816</v>
      </c>
      <c r="BC200" s="0" t="n">
        <v>0.133209927358852</v>
      </c>
      <c r="BD200" s="0" t="n">
        <v>0.113709927358852</v>
      </c>
      <c r="BE200" s="0" t="n">
        <v>0.068367936414987</v>
      </c>
      <c r="BF200" s="3" t="n">
        <v>0.030767936414987</v>
      </c>
      <c r="BG200" s="0" t="n">
        <v>0.0256091684548015</v>
      </c>
      <c r="BH200" s="0" t="n">
        <f aca="false">M200/BG200</f>
        <v>0.801515941471786</v>
      </c>
      <c r="BI200" s="0" t="n">
        <v>0.00375860548516784</v>
      </c>
      <c r="BJ200" s="0" t="n">
        <v>0.560889419218205</v>
      </c>
      <c r="BK200" s="0" t="n">
        <v>0</v>
      </c>
      <c r="BL200" s="0" t="n">
        <v>0</v>
      </c>
      <c r="BM200" s="0" t="n">
        <v>0</v>
      </c>
      <c r="BN200" s="0" t="e">
        <f aca="false">#REF!/#REF!</f>
        <v>#REF!</v>
      </c>
      <c r="BO200" s="20" t="n">
        <v>0.0163840375272</v>
      </c>
    </row>
    <row r="201" customFormat="false" ht="12.8" hidden="false" customHeight="false" outlineLevel="0" collapsed="false">
      <c r="A201" s="0" t="s">
        <v>254</v>
      </c>
      <c r="B201" s="0" t="s">
        <v>50</v>
      </c>
      <c r="C201" s="0" t="s">
        <v>51</v>
      </c>
      <c r="D201" s="0" t="s">
        <v>187</v>
      </c>
      <c r="E201" s="0" t="n">
        <v>0.429875</v>
      </c>
      <c r="F201" s="0" t="n">
        <v>3.2735</v>
      </c>
      <c r="G201" s="0" t="n">
        <v>1015</v>
      </c>
      <c r="H201" s="0" t="n">
        <v>951</v>
      </c>
      <c r="I201" s="0" t="s">
        <v>55</v>
      </c>
      <c r="J201" s="0" t="n">
        <v>0.0646770447</v>
      </c>
      <c r="K201" s="0" t="n">
        <v>0.1281131</v>
      </c>
      <c r="L201" s="0" t="n">
        <v>0.0329898707469858</v>
      </c>
      <c r="M201" s="1" t="n">
        <v>0.024785347250433</v>
      </c>
      <c r="N201" s="0" t="n">
        <v>0.293100469246559</v>
      </c>
      <c r="O201" s="0" t="n">
        <v>0.269460598089675</v>
      </c>
      <c r="P201" s="0" t="n">
        <v>0.229852544491507</v>
      </c>
      <c r="Q201" s="0" t="n">
        <v>0.298837635778905</v>
      </c>
      <c r="R201" s="19" t="n">
        <v>0.213108363065</v>
      </c>
      <c r="S201" s="19" t="n">
        <v>0.180118492318014</v>
      </c>
      <c r="T201" s="0" t="n">
        <v>7.85913271775E-005</v>
      </c>
      <c r="U201" s="19" t="n">
        <v>0.0001096349371775</v>
      </c>
      <c r="V201" s="19" t="n">
        <v>0.0001352784936345</v>
      </c>
      <c r="Z201" s="1"/>
      <c r="AA201" s="1"/>
      <c r="AB201" s="19"/>
      <c r="AJ201" s="0" t="n">
        <v>2.43314176177297</v>
      </c>
      <c r="AK201" s="0" t="n">
        <v>0.0001663221036345</v>
      </c>
      <c r="AL201" s="0" t="n">
        <f aca="false">AK201-0.00003104361</f>
        <v>0.0001352784936345</v>
      </c>
      <c r="AM201" s="0" t="n">
        <v>0.863521426760568</v>
      </c>
      <c r="AN201" s="0" t="n">
        <v>5.98775280371261E-033</v>
      </c>
      <c r="AO201" s="0" t="n">
        <v>7.85913271775E-005</v>
      </c>
      <c r="AP201" s="0" t="n">
        <v>2.43314176177297</v>
      </c>
      <c r="AQ201" s="0" t="n">
        <v>0.0001663221036345</v>
      </c>
      <c r="AR201" s="0" t="n">
        <v>0.0001352784936345</v>
      </c>
      <c r="AS201" s="0" t="n">
        <v>0.863521426760568</v>
      </c>
      <c r="AT201" s="0" t="n">
        <v>3.99640231117667E-035</v>
      </c>
      <c r="AU201" s="3" t="n">
        <v>0.088223645708169</v>
      </c>
      <c r="AV201" s="0" t="n">
        <v>1.32912749756802E-005</v>
      </c>
      <c r="AW201" s="0" t="n">
        <v>0.000201684794797</v>
      </c>
      <c r="AZ201" s="0" t="n">
        <v>0.315234409542337</v>
      </c>
      <c r="BA201" s="0" t="n">
        <v>0.295734409542337</v>
      </c>
      <c r="BC201" s="0" t="n">
        <v>0.249352544491507</v>
      </c>
      <c r="BD201" s="0" t="n">
        <v>0.229852544491507</v>
      </c>
      <c r="BE201" s="0" t="n">
        <v>0.141062124530199</v>
      </c>
      <c r="BF201" s="3" t="n">
        <v>0.102062124530199</v>
      </c>
      <c r="BG201" s="0" t="n">
        <v>0.0353705770043298</v>
      </c>
      <c r="BH201" s="0" t="n">
        <f aca="false">M201/BG201</f>
        <v>0.700733472552595</v>
      </c>
      <c r="BI201" s="0" t="n">
        <v>8.92564063072057E-033</v>
      </c>
      <c r="BJ201" s="0" t="n">
        <v>0.575653938615903</v>
      </c>
      <c r="BK201" s="0" t="n">
        <v>0.21018257591491</v>
      </c>
      <c r="BL201" s="0" t="n">
        <v>0.165611261114311</v>
      </c>
      <c r="BM201" s="0" t="n">
        <v>0.146111261114311</v>
      </c>
      <c r="BN201" s="0" t="e">
        <f aca="false">#REF!/#REF!</f>
        <v>#REF!</v>
      </c>
      <c r="BO201" s="20" t="n">
        <v>0.182628329395</v>
      </c>
    </row>
    <row r="202" customFormat="false" ht="12.8" hidden="false" customHeight="false" outlineLevel="0" collapsed="false">
      <c r="A202" s="16" t="s">
        <v>255</v>
      </c>
      <c r="B202" s="0" t="s">
        <v>50</v>
      </c>
      <c r="C202" s="0" t="s">
        <v>51</v>
      </c>
      <c r="D202" s="0" t="s">
        <v>187</v>
      </c>
      <c r="E202" s="0" t="n">
        <v>0.349525</v>
      </c>
      <c r="F202" s="0" t="n">
        <v>3.62975</v>
      </c>
      <c r="G202" s="0" t="n">
        <v>696</v>
      </c>
      <c r="H202" s="0" t="n">
        <v>656</v>
      </c>
      <c r="I202" s="0" t="s">
        <v>55</v>
      </c>
      <c r="J202" s="0" t="n">
        <v>0.0300822388</v>
      </c>
      <c r="K202" s="0" t="n">
        <v>0.2434247</v>
      </c>
      <c r="L202" s="0" t="n">
        <v>0.0229422213004297</v>
      </c>
      <c r="M202" s="1" t="n">
        <v>0.0261227326135805</v>
      </c>
      <c r="N202" s="0" t="n">
        <v>0.196133932051873</v>
      </c>
      <c r="O202" s="0" t="n">
        <v>0.345182274553732</v>
      </c>
      <c r="P202" s="0" t="n">
        <v>0.219373102124603</v>
      </c>
      <c r="Q202" s="0" t="n">
        <v>0.233711486947096</v>
      </c>
      <c r="R202" s="19" t="n">
        <v>0.18803001015</v>
      </c>
      <c r="S202" s="19" t="n">
        <v>0.16508778884957</v>
      </c>
      <c r="T202" s="0" t="n">
        <v>8.1453167951E-005</v>
      </c>
      <c r="U202" s="19" t="n">
        <v>0.000112496777951</v>
      </c>
      <c r="V202" s="19" t="n">
        <v>0.000168727178008</v>
      </c>
      <c r="Z202" s="1"/>
      <c r="AA202" s="1"/>
      <c r="AB202" s="19"/>
      <c r="AJ202" s="0" t="n">
        <v>4.5899944891106</v>
      </c>
      <c r="AK202" s="0" t="n">
        <v>0.0002621737812625</v>
      </c>
      <c r="AL202" s="0" t="n">
        <f aca="false">AK202-0.00003104361</f>
        <v>0.0002311301712625</v>
      </c>
      <c r="AM202" s="0" t="n">
        <v>1.03223804724748</v>
      </c>
      <c r="AN202" s="0" t="n">
        <v>2.75965878328048E-060</v>
      </c>
      <c r="AO202" s="0" t="n">
        <v>8.02065510585E-005</v>
      </c>
      <c r="AP202" s="0" t="n">
        <v>3.54165849419359</v>
      </c>
      <c r="AQ202" s="0" t="n">
        <v>0.000199770788008</v>
      </c>
      <c r="AR202" s="0" t="n">
        <v>0.000168727178008</v>
      </c>
      <c r="AS202" s="0" t="n">
        <v>0.921178751920624</v>
      </c>
      <c r="AT202" s="0" t="n">
        <v>8.03177237E-012</v>
      </c>
      <c r="AU202" s="3" t="n">
        <v>0.112236353909256</v>
      </c>
      <c r="AV202" s="0" t="n">
        <v>0.0794163709683057</v>
      </c>
      <c r="AW202" s="0" t="n">
        <v>0.000138984868697</v>
      </c>
      <c r="AZ202" s="0" t="n">
        <v>0.203033458100185</v>
      </c>
      <c r="BA202" s="0" t="n">
        <v>0.184233458100185</v>
      </c>
      <c r="BC202" s="0" t="n">
        <v>0.238173102124603</v>
      </c>
      <c r="BD202" s="0" t="n">
        <v>0.219373102124603</v>
      </c>
      <c r="BE202" s="0" t="n">
        <v>0.155560735236135</v>
      </c>
      <c r="BF202" s="3" t="n">
        <v>0.116560735236135</v>
      </c>
      <c r="BG202" s="0" t="n">
        <v>0.0492384658111615</v>
      </c>
      <c r="BH202" s="0" t="n">
        <f aca="false">M202/BG202</f>
        <v>0.53053506406487</v>
      </c>
      <c r="BI202" s="0" t="n">
        <v>1.30958618322902E-051</v>
      </c>
      <c r="BJ202" s="0" t="n">
        <v>0.658049796174568</v>
      </c>
      <c r="BK202" s="0" t="n">
        <v>0.48787951961235</v>
      </c>
      <c r="BL202" s="0" t="n">
        <v>0.586102855465712</v>
      </c>
      <c r="BM202" s="0" t="n">
        <v>0.567302855465712</v>
      </c>
      <c r="BN202" s="0" t="e">
        <f aca="false">#REF!/#REF!</f>
        <v>#REF!</v>
      </c>
      <c r="BO202" s="20" t="n">
        <v>0.169672303605</v>
      </c>
    </row>
    <row r="203" customFormat="false" ht="12.8" hidden="false" customHeight="false" outlineLevel="0" collapsed="false">
      <c r="A203" s="16" t="s">
        <v>256</v>
      </c>
      <c r="B203" s="0" t="s">
        <v>50</v>
      </c>
      <c r="C203" s="0" t="s">
        <v>59</v>
      </c>
      <c r="D203" s="0" t="s">
        <v>187</v>
      </c>
      <c r="E203" s="0" t="n">
        <v>0.118025</v>
      </c>
      <c r="F203" s="0" t="n">
        <v>1.80875</v>
      </c>
      <c r="G203" s="0" t="n">
        <v>285</v>
      </c>
      <c r="H203" s="0" t="n">
        <v>252</v>
      </c>
      <c r="I203" s="0" t="s">
        <v>53</v>
      </c>
      <c r="J203" s="0" t="n">
        <v>0</v>
      </c>
      <c r="K203" s="0" t="n">
        <v>0.032043</v>
      </c>
      <c r="L203" s="0" t="n">
        <v>0.00832175715222344</v>
      </c>
      <c r="M203" s="1" t="n">
        <v>0.026470689423547</v>
      </c>
      <c r="N203" s="0" t="n">
        <v>0.252146652590428</v>
      </c>
      <c r="O203" s="0" t="n">
        <v>0.234548497427107</v>
      </c>
      <c r="P203" s="0" t="n">
        <v>0.157015615240398</v>
      </c>
      <c r="Q203" s="0" t="n">
        <v>0.298437516593206</v>
      </c>
      <c r="R203" s="19" t="n">
        <v>0.0742464592696</v>
      </c>
      <c r="S203" s="19" t="n">
        <v>0.0659247021173766</v>
      </c>
      <c r="T203" s="0" t="n">
        <v>6.69842444653667E-005</v>
      </c>
      <c r="U203" s="19" t="n">
        <v>9.48032712387E-005</v>
      </c>
      <c r="V203" s="19" t="n">
        <v>0.000149157403421167</v>
      </c>
      <c r="Z203" s="1"/>
      <c r="AA203" s="1"/>
      <c r="AB203" s="19"/>
      <c r="AJ203" s="0" t="n">
        <v>2.37574759510644</v>
      </c>
      <c r="AK203" s="0" t="n">
        <v>0</v>
      </c>
      <c r="AL203" s="0" t="n">
        <f aca="false">AK203-0.0000278190267733333</f>
        <v>-2.78190267733333E-005</v>
      </c>
      <c r="AM203" s="0" t="n">
        <v>100</v>
      </c>
      <c r="AN203" s="0" t="n">
        <v>0</v>
      </c>
      <c r="AO203" s="0" t="n">
        <v>6.52555122171667E-005</v>
      </c>
      <c r="AP203" s="0" t="n">
        <v>2.34229535920982</v>
      </c>
      <c r="AQ203" s="0" t="n">
        <v>0.0001769764301945</v>
      </c>
      <c r="AR203" s="0" t="n">
        <v>0.000149157403421167</v>
      </c>
      <c r="AS203" s="0" t="n">
        <v>1.51995631733513</v>
      </c>
      <c r="AT203" s="0" t="n">
        <v>6.348237772908E-008</v>
      </c>
      <c r="AU203" s="3" t="n">
        <v>0.081787546284414</v>
      </c>
      <c r="AV203" s="0" t="n">
        <v>7.6096927755619E-007</v>
      </c>
      <c r="AW203" s="0" t="n">
        <v>0.000103553627310667</v>
      </c>
      <c r="AZ203" s="0" t="n">
        <v>0.341929527863572</v>
      </c>
      <c r="BA203" s="0" t="n">
        <v>0.322429527863572</v>
      </c>
      <c r="BC203" s="0" t="n">
        <v>0.176515615240398</v>
      </c>
      <c r="BD203" s="0" t="n">
        <v>0.157015615240398</v>
      </c>
      <c r="BE203" s="0" t="n">
        <v>0.0969455282184902</v>
      </c>
      <c r="BF203" s="3" t="n">
        <v>0.0593455282184902</v>
      </c>
      <c r="BG203" s="0" t="n">
        <v>0.0473889489066366</v>
      </c>
      <c r="BH203" s="0" t="n">
        <f aca="false">M203/BG203</f>
        <v>0.5585835945781</v>
      </c>
      <c r="BI203" s="0" t="n">
        <v>1.796097E-014</v>
      </c>
      <c r="BJ203" s="0" t="n">
        <v>0.515100407946513</v>
      </c>
      <c r="BK203" s="0" t="n">
        <v>0</v>
      </c>
      <c r="BL203" s="0" t="n">
        <v>0</v>
      </c>
      <c r="BM203" s="0" t="n">
        <v>0</v>
      </c>
      <c r="BN203" s="0" t="e">
        <f aca="false">#REF!/#REF!</f>
        <v>#REF!</v>
      </c>
      <c r="BO203" s="20" t="n">
        <v>0.0699699132524</v>
      </c>
    </row>
    <row r="204" customFormat="false" ht="12.8" hidden="false" customHeight="false" outlineLevel="0" collapsed="false">
      <c r="A204" s="16" t="s">
        <v>257</v>
      </c>
      <c r="B204" s="0" t="s">
        <v>50</v>
      </c>
      <c r="C204" s="0" t="s">
        <v>51</v>
      </c>
      <c r="D204" s="0" t="s">
        <v>187</v>
      </c>
      <c r="E204" s="0" t="n">
        <v>0.2009</v>
      </c>
      <c r="F204" s="0" t="n">
        <v>1.97025</v>
      </c>
      <c r="G204" s="0" t="n">
        <v>596</v>
      </c>
      <c r="H204" s="0" t="n">
        <v>537</v>
      </c>
      <c r="I204" s="0" t="s">
        <v>53</v>
      </c>
      <c r="J204" s="0" t="n">
        <v>0.00919833966</v>
      </c>
      <c r="K204" s="0" t="n">
        <v>0.102962</v>
      </c>
      <c r="L204" s="0" t="n">
        <v>0.0193887551147189</v>
      </c>
      <c r="M204" s="1" t="n">
        <v>0.0268447116692417</v>
      </c>
      <c r="N204" s="0" t="n">
        <v>0.304056407356914</v>
      </c>
      <c r="O204" s="0" t="n">
        <v>0.254277734223388</v>
      </c>
      <c r="P204" s="0" t="n">
        <v>0.217025826008817</v>
      </c>
      <c r="Q204" s="0" t="n">
        <v>0.29018670877281</v>
      </c>
      <c r="R204" s="19" t="n">
        <v>0.116470895015</v>
      </c>
      <c r="S204" s="19" t="n">
        <v>0.0970821399002811</v>
      </c>
      <c r="T204" s="0" t="n">
        <v>9.26100837015E-005</v>
      </c>
      <c r="U204" s="19" t="n">
        <v>0.0001236536937015</v>
      </c>
      <c r="V204" s="19" t="n">
        <v>0.000129161757327</v>
      </c>
      <c r="Z204" s="1"/>
      <c r="AA204" s="1"/>
      <c r="AB204" s="19"/>
      <c r="AJ204" s="0" t="n">
        <v>1.9678251769494</v>
      </c>
      <c r="AK204" s="0" t="n">
        <v>0.000160541302325</v>
      </c>
      <c r="AL204" s="0" t="n">
        <f aca="false">AK204-0.00003104361</f>
        <v>0.000129497692325</v>
      </c>
      <c r="AM204" s="0" t="n">
        <v>100</v>
      </c>
      <c r="AN204" s="0" t="n">
        <v>2.366357532356E-008</v>
      </c>
      <c r="AO204" s="0" t="n">
        <v>9.2173267868E-005</v>
      </c>
      <c r="AP204" s="0" t="n">
        <v>1.90487585094437</v>
      </c>
      <c r="AQ204" s="0" t="n">
        <v>0.000160205367327</v>
      </c>
      <c r="AR204" s="0" t="n">
        <v>0.000129161757327</v>
      </c>
      <c r="AS204" s="0" t="n">
        <v>0.486130897798409</v>
      </c>
      <c r="AT204" s="0" t="n">
        <v>4.41211126597817E-019</v>
      </c>
      <c r="AU204" s="3" t="n">
        <v>0.071680958480379</v>
      </c>
      <c r="AV204" s="0" t="n">
        <v>0.300433170873696</v>
      </c>
      <c r="AW204" s="0" t="n">
        <v>0.00022203857812</v>
      </c>
      <c r="AZ204" s="0" t="n">
        <v>0.381765718700655</v>
      </c>
      <c r="BA204" s="0" t="n">
        <v>0.362265718700655</v>
      </c>
      <c r="BC204" s="0" t="n">
        <v>0.236525826008817</v>
      </c>
      <c r="BD204" s="0" t="n">
        <v>0.217025826008817</v>
      </c>
      <c r="BE204" s="0" t="n">
        <v>0.109838575261846</v>
      </c>
      <c r="BF204" s="3" t="n">
        <v>0.070838575261846</v>
      </c>
      <c r="BG204" s="0" t="n">
        <v>0.0355820521598622</v>
      </c>
      <c r="BH204" s="0" t="n">
        <f aca="false">M204/BG204</f>
        <v>0.754445290244487</v>
      </c>
      <c r="BI204" s="0" t="n">
        <v>4.542811032E-011</v>
      </c>
      <c r="BJ204" s="0" t="n">
        <v>0.478574629203832</v>
      </c>
      <c r="BK204" s="0" t="n">
        <v>0.266477434459079</v>
      </c>
      <c r="BL204" s="0" t="n">
        <v>0.272130883733595</v>
      </c>
      <c r="BM204" s="0" t="n">
        <v>0.252630883733595</v>
      </c>
      <c r="BN204" s="0" t="e">
        <f aca="false">#REF!/#REF!</f>
        <v>#REF!</v>
      </c>
      <c r="BO204" s="20" t="n">
        <v>0.103144549395</v>
      </c>
    </row>
    <row r="205" customFormat="false" ht="12.8" hidden="false" customHeight="false" outlineLevel="0" collapsed="false">
      <c r="A205" s="16" t="s">
        <v>258</v>
      </c>
      <c r="B205" s="0" t="s">
        <v>50</v>
      </c>
      <c r="C205" s="0" t="s">
        <v>51</v>
      </c>
      <c r="D205" s="0" t="s">
        <v>187</v>
      </c>
      <c r="E205" s="18" t="n">
        <v>0.298675</v>
      </c>
      <c r="F205" s="18" t="n">
        <v>2.91</v>
      </c>
      <c r="G205" s="0" t="n">
        <v>662</v>
      </c>
      <c r="H205" s="0" t="n">
        <v>611</v>
      </c>
      <c r="I205" s="18" t="s">
        <v>55</v>
      </c>
      <c r="J205" s="18" t="n">
        <v>0.035049</v>
      </c>
      <c r="K205" s="18" t="n">
        <v>0.1009451</v>
      </c>
      <c r="L205" s="18" t="n">
        <v>0.021535552641244</v>
      </c>
      <c r="M205" s="1" t="n">
        <v>0.0285132654963713</v>
      </c>
      <c r="N205" s="0" t="n">
        <v>0.282850486356</v>
      </c>
      <c r="O205" s="0" t="n">
        <v>0.245556776450437</v>
      </c>
      <c r="P205" s="18" t="n">
        <v>0.210669627004522</v>
      </c>
      <c r="Q205" s="0" t="n">
        <v>0.33089429838616</v>
      </c>
      <c r="R205" s="19" t="n">
        <v>0.16281920951</v>
      </c>
      <c r="S205" s="19" t="n">
        <v>0.141283656868756</v>
      </c>
      <c r="T205" s="0" t="n">
        <v>9.5463964639E-005</v>
      </c>
      <c r="U205" s="19" t="n">
        <v>0.000126507574639</v>
      </c>
      <c r="V205" s="19" t="n">
        <v>0.0001683140218</v>
      </c>
      <c r="Z205" s="1"/>
      <c r="AA205" s="1"/>
      <c r="AB205" s="19"/>
      <c r="AJ205" s="0" t="n">
        <v>100</v>
      </c>
      <c r="AK205" s="0" t="n">
        <v>0.000199322906106</v>
      </c>
      <c r="AL205" s="0" t="n">
        <f aca="false">AK205-0.00003104361</f>
        <v>0.000168279296106</v>
      </c>
      <c r="AM205" s="0" t="n">
        <v>100</v>
      </c>
      <c r="AN205" s="0" t="n">
        <v>2.55035264802332E-020</v>
      </c>
      <c r="AO205" s="0" t="n">
        <v>9.60226279955E-005</v>
      </c>
      <c r="AP205" s="0" t="n">
        <v>2.73000059032223</v>
      </c>
      <c r="AQ205" s="0" t="n">
        <v>0.0001993576318</v>
      </c>
      <c r="AR205" s="0" t="n">
        <v>0.0001683140218</v>
      </c>
      <c r="AS205" s="0" t="n">
        <v>0.601999279300241</v>
      </c>
      <c r="AT205" s="0" t="n">
        <v>0.12379380730853</v>
      </c>
      <c r="AU205" s="3" t="n">
        <v>0.08140017505267</v>
      </c>
      <c r="AV205" s="0" t="n">
        <v>0.00992487621897083</v>
      </c>
      <c r="AW205" s="0" t="n">
        <v>0.000170941315092</v>
      </c>
      <c r="AZ205" s="0" t="n">
        <v>0.301407373885306</v>
      </c>
      <c r="BA205" s="0" t="n">
        <v>0.282607373885306</v>
      </c>
      <c r="BC205" s="0" t="n">
        <v>0.229469627004522</v>
      </c>
      <c r="BD205" s="0" t="n">
        <v>0.210669627004522</v>
      </c>
      <c r="BE205" s="0" t="n">
        <v>0.130339961940621</v>
      </c>
      <c r="BF205" s="3" t="n">
        <v>0.091339961940621</v>
      </c>
      <c r="BG205" s="0" t="n">
        <v>0.0399529131667344</v>
      </c>
      <c r="BH205" s="0" t="n">
        <f aca="false">M205/BG205</f>
        <v>0.713671750977899</v>
      </c>
      <c r="BI205" s="0" t="n">
        <v>6.29011710974625E-019</v>
      </c>
      <c r="BJ205" s="0" t="n">
        <v>0.58778338445249</v>
      </c>
      <c r="BK205" s="0" t="n">
        <v>0.119986965586045</v>
      </c>
      <c r="BL205" s="0" t="n">
        <v>0.195809875825422</v>
      </c>
      <c r="BM205" s="0" t="n">
        <v>0.177009875825422</v>
      </c>
      <c r="BN205" s="0" t="e">
        <f aca="false">#REF!/#REF!</f>
        <v>#REF!</v>
      </c>
      <c r="BO205" s="20" t="n">
        <v>0.138628645085</v>
      </c>
    </row>
    <row r="206" customFormat="false" ht="12.8" hidden="false" customHeight="false" outlineLevel="0" collapsed="false">
      <c r="A206" s="16" t="s">
        <v>259</v>
      </c>
      <c r="B206" s="0" t="s">
        <v>50</v>
      </c>
      <c r="C206" s="0" t="s">
        <v>59</v>
      </c>
      <c r="D206" s="0" t="s">
        <v>187</v>
      </c>
      <c r="E206" s="18" t="n">
        <v>0.049035</v>
      </c>
      <c r="F206" s="18" t="n">
        <v>0.901175</v>
      </c>
      <c r="G206" s="0" t="n">
        <v>107</v>
      </c>
      <c r="H206" s="0" t="n">
        <v>76</v>
      </c>
      <c r="I206" s="18" t="s">
        <v>53</v>
      </c>
      <c r="J206" s="22" t="n">
        <v>0</v>
      </c>
      <c r="K206" s="18" t="n">
        <v>0.069856</v>
      </c>
      <c r="L206" s="18" t="n">
        <v>0.00312296598263786</v>
      </c>
      <c r="M206" s="1" t="n">
        <v>0.0268726278191159</v>
      </c>
      <c r="N206" s="0" t="n">
        <v>0.173914253187551</v>
      </c>
      <c r="O206" s="0" t="n">
        <v>0.135470260676939</v>
      </c>
      <c r="P206" s="18" t="n">
        <v>0.105411733179179</v>
      </c>
      <c r="Q206" s="0" t="n">
        <v>0.186030623724645</v>
      </c>
      <c r="R206" s="19" t="n">
        <v>0.0153283832096</v>
      </c>
      <c r="S206" s="19" t="n">
        <v>0.0122054172269621</v>
      </c>
      <c r="T206" s="0" t="n">
        <v>6.06255905015667E-005</v>
      </c>
      <c r="U206" s="19" t="n">
        <v>8.84446172749E-005</v>
      </c>
      <c r="V206" s="19" t="n">
        <v>9.46653517751667E-005</v>
      </c>
      <c r="Z206" s="1"/>
      <c r="AA206" s="1"/>
      <c r="AB206" s="19"/>
      <c r="AJ206" s="0" t="n">
        <v>0.316333864251012</v>
      </c>
      <c r="AK206" s="0" t="n">
        <v>0.0001224843785485</v>
      </c>
      <c r="AL206" s="0" t="n">
        <f aca="false">AK206-0.0000278190267733333</f>
        <v>9.46653517751667E-005</v>
      </c>
      <c r="AM206" s="0" t="n">
        <v>100</v>
      </c>
      <c r="AN206" s="0" t="n">
        <v>0.0618969036542648</v>
      </c>
      <c r="AO206" s="0" t="n">
        <v>6.06255905015667E-005</v>
      </c>
      <c r="AP206" s="0" t="n">
        <v>0.316333864251012</v>
      </c>
      <c r="AQ206" s="0" t="n">
        <v>0.0001224843785485</v>
      </c>
      <c r="AR206" s="0" t="n">
        <v>9.46653517751667E-005</v>
      </c>
      <c r="AS206" s="0" t="n">
        <v>-0.171437926378949</v>
      </c>
      <c r="AT206" s="0" t="n">
        <v>1.58091395149173E-027</v>
      </c>
      <c r="AU206" s="3" t="n">
        <v>0.0258948327022067</v>
      </c>
      <c r="AV206" s="0" t="n">
        <v>0.351456170147041</v>
      </c>
      <c r="AW206" s="0" t="n">
        <v>-2.78190267733333E-005</v>
      </c>
      <c r="AZ206" s="0" t="n">
        <v>0.167132445255402</v>
      </c>
      <c r="BA206" s="0" t="n">
        <v>0.147632445255402</v>
      </c>
      <c r="BC206" s="0" t="n">
        <v>0.124911733179179</v>
      </c>
      <c r="BD206" s="0" t="n">
        <v>0.105411733179179</v>
      </c>
      <c r="BE206" s="0" t="n">
        <v>0.0558191802663831</v>
      </c>
      <c r="BF206" s="3" t="n">
        <v>0.0182191802663831</v>
      </c>
      <c r="BG206" s="0" t="n">
        <v>0.0305862397160174</v>
      </c>
      <c r="BH206" s="0" t="n">
        <f aca="false">M206/BG206</f>
        <v>0.87858553613059</v>
      </c>
      <c r="BI206" s="0" t="n">
        <v>0.173459248917064</v>
      </c>
      <c r="BJ206" s="0" t="n">
        <v>0.489896528736318</v>
      </c>
      <c r="BK206" s="0" t="n">
        <v>0</v>
      </c>
      <c r="BL206" s="0" t="n">
        <v>0</v>
      </c>
      <c r="BM206" s="0" t="n">
        <v>0</v>
      </c>
      <c r="BN206" s="0" t="e">
        <f aca="false">#REF!/#REF!</f>
        <v>#REF!</v>
      </c>
      <c r="BO206" s="20" t="n">
        <v>0.0091607553272</v>
      </c>
    </row>
    <row r="207" customFormat="false" ht="12.8" hidden="false" customHeight="false" outlineLevel="0" collapsed="false">
      <c r="A207" s="16" t="s">
        <v>260</v>
      </c>
      <c r="B207" s="0" t="s">
        <v>50</v>
      </c>
      <c r="C207" s="0" t="s">
        <v>51</v>
      </c>
      <c r="D207" s="0" t="s">
        <v>187</v>
      </c>
      <c r="E207" s="18" t="n">
        <v>0.292725</v>
      </c>
      <c r="F207" s="18" t="n">
        <v>2.56275</v>
      </c>
      <c r="G207" s="0" t="n">
        <v>631</v>
      </c>
      <c r="H207" s="0" t="n">
        <v>578</v>
      </c>
      <c r="I207" s="18" t="s">
        <v>55</v>
      </c>
      <c r="J207" s="18" t="n">
        <v>0.030828</v>
      </c>
      <c r="K207" s="18" t="n">
        <v>0.189749</v>
      </c>
      <c r="L207" s="18" t="n">
        <v>0.0205200342249557</v>
      </c>
      <c r="M207" s="1" t="n">
        <v>0.027049296438012</v>
      </c>
      <c r="N207" s="0" t="n">
        <v>0.112428036326936</v>
      </c>
      <c r="O207" s="0" t="n">
        <v>0.229492951197025</v>
      </c>
      <c r="P207" s="18" t="n">
        <v>0.189855736557021</v>
      </c>
      <c r="Q207" s="0" t="n">
        <v>0.258301090125082</v>
      </c>
      <c r="R207" s="19" t="n">
        <v>0.153096264855</v>
      </c>
      <c r="S207" s="19" t="n">
        <v>0.132576230630044</v>
      </c>
      <c r="T207" s="0" t="n">
        <v>9.4157401564E-005</v>
      </c>
      <c r="U207" s="19" t="n">
        <v>0.000125201011564</v>
      </c>
      <c r="V207" s="19" t="n">
        <v>0.000167632342946</v>
      </c>
      <c r="Z207" s="1"/>
      <c r="AA207" s="1"/>
      <c r="AB207" s="19"/>
      <c r="AJ207" s="0" t="n">
        <v>100</v>
      </c>
      <c r="AK207" s="0" t="n">
        <v>0.0001997724035</v>
      </c>
      <c r="AL207" s="0" t="n">
        <f aca="false">AK207-0.00003104361</f>
        <v>0.0001687287935</v>
      </c>
      <c r="AM207" s="0" t="n">
        <v>100</v>
      </c>
      <c r="AN207" s="0" t="n">
        <v>2.71931794583581E-028</v>
      </c>
      <c r="AO207" s="0" t="n">
        <v>9.40243449235E-005</v>
      </c>
      <c r="AP207" s="0" t="n">
        <v>2.23027904979105</v>
      </c>
      <c r="AQ207" s="0" t="n">
        <v>0.000198675952946</v>
      </c>
      <c r="AR207" s="0" t="n">
        <v>0.000167632342946</v>
      </c>
      <c r="AS207" s="0" t="n">
        <v>0.716275475688842</v>
      </c>
      <c r="AT207" s="0" t="n">
        <v>2.66672744720379E-005</v>
      </c>
      <c r="AU207" s="3" t="n">
        <v>0.078494106462236</v>
      </c>
      <c r="AV207" s="0" t="n">
        <v>1.99196599154E-009</v>
      </c>
      <c r="AW207" s="0" t="n">
        <v>0.0001894395687195</v>
      </c>
      <c r="AZ207" s="0" t="n">
        <v>0.0568909231551305</v>
      </c>
      <c r="BA207" s="0" t="n">
        <v>0.0373909231551305</v>
      </c>
      <c r="BC207" s="0" t="n">
        <v>0.209355736557021</v>
      </c>
      <c r="BD207" s="0" t="n">
        <v>0.189855736557021</v>
      </c>
      <c r="BE207" s="0" t="n">
        <v>0.139624306440667</v>
      </c>
      <c r="BF207" s="3" t="n">
        <v>0.100624306440667</v>
      </c>
      <c r="BG207" s="0" t="n">
        <v>0.0404349686632558</v>
      </c>
      <c r="BH207" s="0" t="n">
        <f aca="false">M207/BG207</f>
        <v>0.668958016593996</v>
      </c>
      <c r="BI207" s="0" t="n">
        <v>1.02098373975251E-022</v>
      </c>
      <c r="BJ207" s="0" t="n">
        <v>0.689581327324084</v>
      </c>
      <c r="BK207" s="0" t="n">
        <v>0.223232191975118</v>
      </c>
      <c r="BL207" s="0" t="n">
        <v>0.243017710028745</v>
      </c>
      <c r="BM207" s="0" t="n">
        <v>0.223517710028745</v>
      </c>
      <c r="BN207" s="0" t="e">
        <f aca="false">#REF!/#REF!</f>
        <v>#REF!</v>
      </c>
      <c r="BO207" s="20" t="n">
        <v>0.14354571672</v>
      </c>
    </row>
    <row r="208" customFormat="false" ht="12.8" hidden="false" customHeight="false" outlineLevel="0" collapsed="false">
      <c r="A208" s="16" t="s">
        <v>261</v>
      </c>
      <c r="B208" s="0" t="s">
        <v>50</v>
      </c>
      <c r="C208" s="0" t="s">
        <v>51</v>
      </c>
      <c r="D208" s="0" t="s">
        <v>187</v>
      </c>
      <c r="E208" s="18" t="n">
        <v>0.21135</v>
      </c>
      <c r="F208" s="18" t="n">
        <v>2.34575</v>
      </c>
      <c r="G208" s="0" t="n">
        <v>567</v>
      </c>
      <c r="H208" s="0" t="n">
        <v>514</v>
      </c>
      <c r="I208" s="18" t="s">
        <v>53</v>
      </c>
      <c r="J208" s="18" t="n">
        <v>0.027527</v>
      </c>
      <c r="K208" s="18" t="n">
        <v>0.146054</v>
      </c>
      <c r="L208" s="18" t="n">
        <v>0.018443237027912</v>
      </c>
      <c r="M208" s="1" t="n">
        <v>0.0243591241819614</v>
      </c>
      <c r="N208" s="0" t="n">
        <v>0.250775707608562</v>
      </c>
      <c r="O208" s="0" t="n">
        <v>0.219756256112757</v>
      </c>
      <c r="P208" s="18" t="n">
        <v>0.189165737483734</v>
      </c>
      <c r="Q208" s="0" t="n">
        <v>0.269596965580325</v>
      </c>
      <c r="R208" s="19" t="n">
        <v>0.103577749795</v>
      </c>
      <c r="S208" s="19" t="n">
        <v>0.085134512767088</v>
      </c>
      <c r="T208" s="0" t="n">
        <v>8.1959907626E-005</v>
      </c>
      <c r="U208" s="19" t="n">
        <v>0.000113003517626</v>
      </c>
      <c r="V208" s="19" t="n">
        <v>0.00010897807766</v>
      </c>
      <c r="Z208" s="1"/>
      <c r="AA208" s="1"/>
      <c r="AB208" s="19"/>
      <c r="AJ208" s="0" t="n">
        <v>100</v>
      </c>
      <c r="AK208" s="0" t="n">
        <v>0.0001400651072785</v>
      </c>
      <c r="AL208" s="0" t="n">
        <f aca="false">AK208-0.00003104361</f>
        <v>0.0001090214972785</v>
      </c>
      <c r="AM208" s="0" t="n">
        <v>100</v>
      </c>
      <c r="AN208" s="0" t="n">
        <v>1.05979407794101E-005</v>
      </c>
      <c r="AO208" s="0" t="n">
        <v>8.1959907626E-005</v>
      </c>
      <c r="AP208" s="0" t="n">
        <v>2.33934959824179</v>
      </c>
      <c r="AQ208" s="0" t="n">
        <v>0.00014002168766</v>
      </c>
      <c r="AR208" s="0" t="n">
        <v>0.00010897807766</v>
      </c>
      <c r="AS208" s="0" t="n">
        <v>0.953444334283207</v>
      </c>
      <c r="AT208" s="0" t="n">
        <v>0.0229676195352955</v>
      </c>
      <c r="AU208" s="3" t="n">
        <v>0.068534001603027</v>
      </c>
      <c r="AV208" s="0" t="n">
        <v>0.156691138707297</v>
      </c>
      <c r="AW208" s="0" t="n">
        <v>0.000215530208449</v>
      </c>
      <c r="AZ208" s="0" t="n">
        <v>0.316797965096201</v>
      </c>
      <c r="BA208" s="0" t="n">
        <v>0.297997965096201</v>
      </c>
      <c r="BC208" s="0" t="n">
        <v>0.207965737483734</v>
      </c>
      <c r="BD208" s="0" t="n">
        <v>0.189165737483734</v>
      </c>
      <c r="BE208" s="0" t="n">
        <v>0.108930972368067</v>
      </c>
      <c r="BF208" s="3" t="n">
        <v>0.069930972368067</v>
      </c>
      <c r="BG208" s="0" t="n">
        <v>0.0329708982875281</v>
      </c>
      <c r="BH208" s="0" t="n">
        <f aca="false">M208/BG208</f>
        <v>0.738806809858005</v>
      </c>
      <c r="BI208" s="0" t="n">
        <v>8.5188119681E-010</v>
      </c>
      <c r="BJ208" s="0" t="n">
        <v>0.544731672202218</v>
      </c>
      <c r="BK208" s="0" t="n">
        <v>0.303371463204932</v>
      </c>
      <c r="BL208" s="0" t="n">
        <v>0.347941589733276</v>
      </c>
      <c r="BM208" s="0" t="n">
        <v>0.329141589733276</v>
      </c>
      <c r="BN208" s="0" t="e">
        <f aca="false">#REF!/#REF!</f>
        <v>#REF!</v>
      </c>
      <c r="BO208" s="20" t="n">
        <v>0.0848517290175</v>
      </c>
    </row>
    <row r="209" customFormat="false" ht="12.8" hidden="false" customHeight="false" outlineLevel="0" collapsed="false">
      <c r="A209" s="16" t="s">
        <v>262</v>
      </c>
      <c r="B209" s="0" t="s">
        <v>50</v>
      </c>
      <c r="C209" s="0" t="s">
        <v>59</v>
      </c>
      <c r="D209" s="0" t="s">
        <v>187</v>
      </c>
      <c r="E209" s="18" t="n">
        <v>0.0757925</v>
      </c>
      <c r="F209" s="18" t="n">
        <v>1.02525</v>
      </c>
      <c r="G209" s="0" t="n">
        <v>408</v>
      </c>
      <c r="H209" s="0" t="n">
        <v>348</v>
      </c>
      <c r="I209" s="18" t="s">
        <v>53</v>
      </c>
      <c r="J209" s="22" t="n">
        <v>0</v>
      </c>
      <c r="K209" s="18" t="n">
        <v>0.07466</v>
      </c>
      <c r="L209" s="18" t="n">
        <v>0.0119138360886652</v>
      </c>
      <c r="M209" s="1" t="n">
        <v>0.0185917064375819</v>
      </c>
      <c r="N209" s="0" t="n">
        <v>0.175012042754105</v>
      </c>
      <c r="O209" s="0" t="n">
        <v>0.169147479515328</v>
      </c>
      <c r="P209" s="18" t="n">
        <v>0.14003294273682</v>
      </c>
      <c r="Q209" s="0" t="n">
        <v>0.204299716367977</v>
      </c>
      <c r="R209" s="19" t="n">
        <v>0.0436036986884</v>
      </c>
      <c r="S209" s="19" t="n">
        <v>0.0316898625997348</v>
      </c>
      <c r="T209" s="0" t="n">
        <v>8.71204709356667E-005</v>
      </c>
      <c r="U209" s="19" t="n">
        <v>0.000114939497709</v>
      </c>
      <c r="V209" s="19" t="n">
        <v>5.49272677203667E-005</v>
      </c>
      <c r="Z209" s="1"/>
      <c r="AA209" s="1"/>
      <c r="AB209" s="19"/>
      <c r="AJ209" s="0" t="n">
        <v>100</v>
      </c>
      <c r="AK209" s="23" t="n">
        <v>8.27462944937E-005</v>
      </c>
      <c r="AL209" s="0" t="n">
        <f aca="false">AK209-0.0000278190267733333</f>
        <v>5.49272677203667E-005</v>
      </c>
      <c r="AM209" s="0" t="n">
        <v>100</v>
      </c>
      <c r="AN209" s="12" t="n">
        <v>0</v>
      </c>
      <c r="AO209" s="0" t="n">
        <v>4.73706489570667E-005</v>
      </c>
      <c r="AP209" s="0" t="n">
        <v>0.694111037045367</v>
      </c>
      <c r="AQ209" s="0" t="n">
        <v>8.27462944937E-005</v>
      </c>
      <c r="AR209" s="0" t="n">
        <v>5.49272677203667E-005</v>
      </c>
      <c r="AS209" s="0" t="n">
        <v>0.698504956811504</v>
      </c>
      <c r="AT209" s="0" t="n">
        <v>2.18929315436362E-042</v>
      </c>
      <c r="AU209" s="3" t="n">
        <v>0.0315424763367668</v>
      </c>
      <c r="AV209" s="0" t="n">
        <v>0.0303279701681222</v>
      </c>
      <c r="AW209" s="0" t="n">
        <v>0.000233441468982167</v>
      </c>
      <c r="AZ209" s="0" t="n">
        <v>0.174137222597682</v>
      </c>
      <c r="BA209" s="0" t="n">
        <v>0.154637222597682</v>
      </c>
      <c r="BC209" s="0" t="n">
        <v>0.15953294273682</v>
      </c>
      <c r="BD209" s="0" t="n">
        <v>0.14003294273682</v>
      </c>
      <c r="BE209" s="0" t="n">
        <v>0.0704030348765284</v>
      </c>
      <c r="BF209" s="3" t="n">
        <v>0.0328030348765284</v>
      </c>
      <c r="BG209" s="0" t="n">
        <v>0.0220043652742932</v>
      </c>
      <c r="BH209" s="0" t="n">
        <f aca="false">M209/BG209</f>
        <v>0.84490991700187</v>
      </c>
      <c r="BI209" s="0" t="n">
        <v>0.0029379364915634</v>
      </c>
      <c r="BJ209" s="0" t="n">
        <v>0.439721246227166</v>
      </c>
      <c r="BK209" s="0" t="n">
        <v>0</v>
      </c>
      <c r="BL209" s="0" t="n">
        <v>0</v>
      </c>
      <c r="BM209" s="0" t="n">
        <v>0</v>
      </c>
      <c r="BN209" s="0" t="e">
        <f aca="false">#REF!/#REF!</f>
        <v>#REF!</v>
      </c>
      <c r="BO209" s="20" t="n">
        <v>0.0333416495312</v>
      </c>
    </row>
    <row r="210" customFormat="false" ht="12.8" hidden="false" customHeight="false" outlineLevel="0" collapsed="false">
      <c r="A210" s="16" t="s">
        <v>263</v>
      </c>
      <c r="B210" s="0" t="s">
        <v>50</v>
      </c>
      <c r="C210" s="21" t="s">
        <v>51</v>
      </c>
      <c r="D210" s="0" t="s">
        <v>187</v>
      </c>
      <c r="E210" s="18" t="n">
        <v>0.317375</v>
      </c>
      <c r="F210" s="18" t="n">
        <v>2.86075</v>
      </c>
      <c r="G210" s="0" t="n">
        <v>758</v>
      </c>
      <c r="H210" s="0" t="n">
        <v>701</v>
      </c>
      <c r="I210" s="18" t="s">
        <v>53</v>
      </c>
      <c r="J210" s="18" t="n">
        <v>0.031431</v>
      </c>
      <c r="K210" s="18" t="n">
        <v>0.20749</v>
      </c>
      <c r="L210" s="18" t="n">
        <v>0.0246629844590789</v>
      </c>
      <c r="M210" s="1" t="n">
        <v>0.0263262867027894</v>
      </c>
      <c r="N210" s="0" t="n">
        <v>0.573333879828163</v>
      </c>
      <c r="O210" s="0" t="n">
        <v>0.33358001103854</v>
      </c>
      <c r="P210" s="18" t="n">
        <v>0.221666262037237</v>
      </c>
      <c r="Q210" s="0" t="n">
        <v>0.514758654791934</v>
      </c>
      <c r="R210" s="19" t="n">
        <v>0.20093725509</v>
      </c>
      <c r="S210" s="19" t="n">
        <v>0.176274270630921</v>
      </c>
      <c r="T210" s="0" t="n">
        <v>8.212663417E-005</v>
      </c>
      <c r="U210" s="19" t="n">
        <v>0.00011317024417</v>
      </c>
      <c r="V210" s="19" t="n">
        <v>0.000183388665128</v>
      </c>
      <c r="Z210" s="1"/>
      <c r="AA210" s="1"/>
      <c r="AB210" s="19"/>
      <c r="AJ210" s="0" t="n">
        <v>100</v>
      </c>
      <c r="AK210" s="0" t="n">
        <v>0.000216121592620489</v>
      </c>
      <c r="AL210" s="0" t="n">
        <f aca="false">AK210-0.00003104361</f>
        <v>0.000185077982620489</v>
      </c>
      <c r="AM210" s="0" t="n">
        <v>100</v>
      </c>
      <c r="AN210" s="0" t="n">
        <v>9.99888650225354E-045</v>
      </c>
      <c r="AO210" s="0" t="n">
        <v>8.212663417E-005</v>
      </c>
      <c r="AP210" s="0" t="n">
        <v>2.09024530335104</v>
      </c>
      <c r="AQ210" s="0" t="n">
        <v>0.000214432275128</v>
      </c>
      <c r="AR210" s="0" t="n">
        <v>0.000183388665128</v>
      </c>
      <c r="AS210" s="0" t="n">
        <v>0.748903317689916</v>
      </c>
      <c r="AT210" s="0" t="n">
        <v>0.00131426846776639</v>
      </c>
      <c r="AU210" s="3" t="n">
        <v>0.102327963121809</v>
      </c>
      <c r="AV210" s="0" t="n">
        <v>0.194444135988037</v>
      </c>
      <c r="AW210" s="0" t="n">
        <v>0.000146461008067</v>
      </c>
      <c r="AZ210" s="0" t="n">
        <v>0.696284471583992</v>
      </c>
      <c r="BA210" s="0" t="n">
        <v>0.676784471583992</v>
      </c>
      <c r="BC210" s="0" t="n">
        <v>0.241166262037237</v>
      </c>
      <c r="BD210" s="0" t="n">
        <v>0.221666262037237</v>
      </c>
      <c r="BE210" s="0" t="n">
        <v>0.136588514388839</v>
      </c>
      <c r="BF210" s="3" t="n">
        <v>0.097588514388839</v>
      </c>
      <c r="BG210" s="0" t="n">
        <v>0.0441222683335402</v>
      </c>
      <c r="BH210" s="0" t="n">
        <f aca="false">M210/BG210</f>
        <v>0.596666665090223</v>
      </c>
      <c r="BI210" s="0" t="n">
        <v>3.26066577281794E-037</v>
      </c>
      <c r="BJ210" s="0" t="n">
        <v>0.563952093591531</v>
      </c>
      <c r="BK210" s="0" t="n">
        <v>0.212000668868641</v>
      </c>
      <c r="BL210" s="0" t="n">
        <v>0.17641512671091</v>
      </c>
      <c r="BM210" s="0" t="n">
        <v>0.15691512671091</v>
      </c>
      <c r="BN210" s="0" t="e">
        <f aca="false">#REF!/#REF!</f>
        <v>#REF!</v>
      </c>
      <c r="BO210" s="20" t="n">
        <v>0.17902715559</v>
      </c>
    </row>
    <row r="211" customFormat="false" ht="12.8" hidden="false" customHeight="false" outlineLevel="0" collapsed="false">
      <c r="A211" s="16" t="s">
        <v>264</v>
      </c>
      <c r="B211" s="0" t="s">
        <v>50</v>
      </c>
      <c r="C211" s="0" t="s">
        <v>51</v>
      </c>
      <c r="D211" s="0" t="s">
        <v>187</v>
      </c>
      <c r="E211" s="18" t="n">
        <v>0.163775</v>
      </c>
      <c r="F211" s="18" t="n">
        <v>1.84325</v>
      </c>
      <c r="G211" s="0" t="n">
        <v>290</v>
      </c>
      <c r="H211" s="0" t="n">
        <v>246</v>
      </c>
      <c r="I211" s="18" t="s">
        <v>53</v>
      </c>
      <c r="J211" s="18" t="n">
        <v>0.03199</v>
      </c>
      <c r="K211" s="18" t="n">
        <v>0.08222</v>
      </c>
      <c r="L211" s="18" t="n">
        <v>0.00943139568118689</v>
      </c>
      <c r="M211" s="1" t="n">
        <v>0.0287009264145434</v>
      </c>
      <c r="N211" s="0" t="n">
        <v>0.0714632939079316</v>
      </c>
      <c r="O211" s="0" t="n">
        <v>0.214870680702027</v>
      </c>
      <c r="P211" s="18" t="n">
        <v>0.165115279021514</v>
      </c>
      <c r="Q211" s="0" t="n">
        <v>0.191090361961668</v>
      </c>
      <c r="R211" s="19" t="n">
        <v>0.0588451491555</v>
      </c>
      <c r="S211" s="19" t="n">
        <v>0.0494137534743131</v>
      </c>
      <c r="T211" s="0" t="n">
        <v>-3.104361E-005</v>
      </c>
      <c r="U211" s="19" t="n">
        <v>0</v>
      </c>
      <c r="V211" s="19" t="n">
        <v>0.0001138543245935</v>
      </c>
      <c r="Z211" s="1"/>
      <c r="AA211" s="1"/>
      <c r="AB211" s="19"/>
      <c r="AJ211" s="0" t="n">
        <v>100</v>
      </c>
      <c r="AK211" s="0" t="n">
        <v>0.0001448979345935</v>
      </c>
      <c r="AL211" s="0" t="n">
        <f aca="false">AK211-0.00003104361</f>
        <v>0.0001138543245935</v>
      </c>
      <c r="AM211" s="0" t="n">
        <v>100</v>
      </c>
      <c r="AN211" s="12" t="n">
        <v>0</v>
      </c>
      <c r="AO211" s="0" t="n">
        <v>8.4155555916E-005</v>
      </c>
      <c r="AP211" s="0" t="n">
        <v>1.39208808779373</v>
      </c>
      <c r="AQ211" s="0" t="n">
        <v>0.0001448979345935</v>
      </c>
      <c r="AR211" s="0" t="n">
        <v>0.0001138543245935</v>
      </c>
      <c r="AS211" s="0" t="n">
        <v>0.730132737185538</v>
      </c>
      <c r="AT211" s="0" t="n">
        <v>0.00558296691032485</v>
      </c>
      <c r="AU211" s="3" t="n">
        <v>0.0422537974422459</v>
      </c>
      <c r="AV211" s="0" t="n">
        <v>0.416245236942365</v>
      </c>
      <c r="AW211" s="0" t="n">
        <v>0.000154956955438</v>
      </c>
      <c r="AZ211" s="0" t="n">
        <v>0.0458665215088154</v>
      </c>
      <c r="BA211" s="0" t="n">
        <v>0.0263665215088154</v>
      </c>
      <c r="BC211" s="0" t="n">
        <v>0.184615279021514</v>
      </c>
      <c r="BD211" s="0" t="n">
        <v>0.165115279021514</v>
      </c>
      <c r="BE211" s="0" t="n">
        <v>0.0859426557579029</v>
      </c>
      <c r="BF211" s="3" t="n">
        <v>0.0469426557579029</v>
      </c>
      <c r="BG211" s="0" t="n">
        <v>0.037347397778767</v>
      </c>
      <c r="BH211" s="0" t="n">
        <f aca="false">M211/BG211</f>
        <v>0.768485306113098</v>
      </c>
      <c r="BI211" s="0" t="n">
        <v>0.000528364180224462</v>
      </c>
      <c r="BJ211" s="0" t="n">
        <v>0.449528852602579</v>
      </c>
      <c r="BK211" s="0" t="n">
        <v>0.0677807915294479</v>
      </c>
      <c r="BL211" s="0" t="n">
        <v>0.101061196312043</v>
      </c>
      <c r="BM211" s="0" t="n">
        <v>0.081561196312043</v>
      </c>
      <c r="BN211" s="0" t="e">
        <f aca="false">#REF!/#REF!</f>
        <v>#REF!</v>
      </c>
      <c r="BO211" s="20" t="n">
        <v>0.0479839079315</v>
      </c>
    </row>
    <row r="212" customFormat="false" ht="12.8" hidden="false" customHeight="false" outlineLevel="0" collapsed="false">
      <c r="A212" s="16" t="s">
        <v>265</v>
      </c>
      <c r="B212" s="0" t="s">
        <v>50</v>
      </c>
      <c r="C212" s="0" t="s">
        <v>51</v>
      </c>
      <c r="D212" s="0" t="s">
        <v>187</v>
      </c>
      <c r="E212" s="18" t="n">
        <v>0.0954</v>
      </c>
      <c r="F212" s="18" t="n">
        <v>1.34575</v>
      </c>
      <c r="G212" s="0" t="n">
        <v>268</v>
      </c>
      <c r="H212" s="0" t="n">
        <v>221</v>
      </c>
      <c r="I212" s="18" t="s">
        <v>55</v>
      </c>
      <c r="J212" s="18" t="n">
        <v>0.010368</v>
      </c>
      <c r="K212" s="18" t="n">
        <v>0.017033</v>
      </c>
      <c r="L212" s="18" t="n">
        <v>0.00871851831577326</v>
      </c>
      <c r="M212" s="1" t="n">
        <v>0.0215794446868832</v>
      </c>
      <c r="N212" s="0" t="n">
        <v>0.207713568343153</v>
      </c>
      <c r="O212" s="0" t="n">
        <v>0.163756223049126</v>
      </c>
      <c r="P212" s="18" t="n">
        <v>0.131010932761465</v>
      </c>
      <c r="Q212" s="0" t="n">
        <v>0.210956954076855</v>
      </c>
      <c r="R212" s="19" t="n">
        <v>0.0364876368725</v>
      </c>
      <c r="S212" s="19" t="n">
        <v>0.0277691185567267</v>
      </c>
      <c r="T212" s="0" t="n">
        <v>-3.104361E-005</v>
      </c>
      <c r="U212" s="19" t="n">
        <v>0</v>
      </c>
      <c r="V212" s="19" t="n">
        <v>7.1362553496E-005</v>
      </c>
      <c r="Z212" s="1"/>
      <c r="AA212" s="1"/>
      <c r="AB212" s="19"/>
      <c r="AJ212" s="0" t="n">
        <v>100</v>
      </c>
      <c r="AK212" s="0" t="n">
        <v>0.000102406163496</v>
      </c>
      <c r="AL212" s="0" t="n">
        <f aca="false">AK212-0.00003104361</f>
        <v>7.1362553496E-005</v>
      </c>
      <c r="AM212" s="0" t="n">
        <v>100</v>
      </c>
      <c r="AN212" s="12" t="n">
        <v>0</v>
      </c>
      <c r="AO212" s="0" t="n">
        <v>5.54392859477E-005</v>
      </c>
      <c r="AP212" s="0" t="n">
        <v>1.54371549415197</v>
      </c>
      <c r="AQ212" s="0" t="n">
        <v>0.000102406163496</v>
      </c>
      <c r="AR212" s="0" t="n">
        <v>7.1362553496E-005</v>
      </c>
      <c r="AS212" s="0" t="n">
        <v>0.69197057470961</v>
      </c>
      <c r="AT212" s="0" t="n">
        <v>5.929101631547E-008</v>
      </c>
      <c r="AU212" s="3" t="n">
        <v>0.0278182527881628</v>
      </c>
      <c r="AV212" s="0" t="n">
        <v>0.100371222199701</v>
      </c>
      <c r="AW212" s="0" t="n">
        <v>0.000245180620387</v>
      </c>
      <c r="AZ212" s="0" t="n">
        <v>0.253431141048625</v>
      </c>
      <c r="BA212" s="0" t="n">
        <v>0.233931141048625</v>
      </c>
      <c r="BC212" s="0" t="n">
        <v>0.150510932761465</v>
      </c>
      <c r="BD212" s="0" t="n">
        <v>0.131010932761465</v>
      </c>
      <c r="BE212" s="0" t="n">
        <v>0.0696988516068775</v>
      </c>
      <c r="BF212" s="3" t="n">
        <v>0.0306988516068775</v>
      </c>
      <c r="BG212" s="0" t="n">
        <v>0.0274980609745586</v>
      </c>
      <c r="BH212" s="0" t="n">
        <f aca="false">M212/BG212</f>
        <v>0.784762413133372</v>
      </c>
      <c r="BI212" s="0" t="n">
        <v>0.000242198945400391</v>
      </c>
      <c r="BJ212" s="0" t="n">
        <v>0.498544226391234</v>
      </c>
      <c r="BK212" s="0" t="n">
        <v>0.159957772449907</v>
      </c>
      <c r="BL212" s="0" t="n">
        <v>0.190242357585736</v>
      </c>
      <c r="BM212" s="0" t="n">
        <v>0.170742357585736</v>
      </c>
      <c r="BN212" s="0" t="e">
        <f aca="false">#REF!/#REF!</f>
        <v>#REF!</v>
      </c>
      <c r="BO212" s="20" t="n">
        <v>0.0278220120175</v>
      </c>
    </row>
    <row r="213" customFormat="false" ht="12.8" hidden="false" customHeight="false" outlineLevel="0" collapsed="false">
      <c r="A213" s="16" t="s">
        <v>266</v>
      </c>
      <c r="B213" s="0" t="s">
        <v>50</v>
      </c>
      <c r="C213" s="0" t="s">
        <v>51</v>
      </c>
      <c r="D213" s="0" t="s">
        <v>187</v>
      </c>
      <c r="E213" s="18" t="n">
        <v>0.221725</v>
      </c>
      <c r="F213" s="18" t="n">
        <v>2.1825</v>
      </c>
      <c r="G213" s="0" t="n">
        <v>613</v>
      </c>
      <c r="H213" s="0" t="n">
        <v>550</v>
      </c>
      <c r="I213" s="18" t="s">
        <v>55</v>
      </c>
      <c r="J213" s="18" t="n">
        <v>0.036367</v>
      </c>
      <c r="K213" s="18" t="n">
        <v>0.1395927</v>
      </c>
      <c r="L213" s="18" t="n">
        <v>0.0199448201456526</v>
      </c>
      <c r="M213" s="1" t="n">
        <v>0.0256605520442505</v>
      </c>
      <c r="N213" s="0" t="n">
        <v>0.280015501398762</v>
      </c>
      <c r="O213" s="0" t="n">
        <v>0.246040766813591</v>
      </c>
      <c r="P213" s="18" t="n">
        <v>0.220148185966438</v>
      </c>
      <c r="Q213" s="0" t="n">
        <v>0.308520376077122</v>
      </c>
      <c r="R213" s="19" t="n">
        <v>0.115435976335</v>
      </c>
      <c r="S213" s="19" t="n">
        <v>0.0954911561893474</v>
      </c>
      <c r="T213" s="0" t="n">
        <v>8.3895887709E-005</v>
      </c>
      <c r="U213" s="19" t="n">
        <v>0.000114939497709</v>
      </c>
      <c r="V213" s="19" t="n">
        <v>0.0001065239106945</v>
      </c>
      <c r="Z213" s="1"/>
      <c r="AA213" s="1"/>
      <c r="AB213" s="19"/>
      <c r="AJ213" s="0" t="n">
        <v>100</v>
      </c>
      <c r="AK213" s="0" t="n">
        <v>0.0001375675206945</v>
      </c>
      <c r="AL213" s="0" t="n">
        <f aca="false">AK213-0.00003104361</f>
        <v>0.0001065239106945</v>
      </c>
      <c r="AM213" s="0" t="n">
        <v>100</v>
      </c>
      <c r="AN213" s="0" t="n">
        <v>0</v>
      </c>
      <c r="AO213" s="0" t="n">
        <v>8.3895887709E-005</v>
      </c>
      <c r="AP213" s="0" t="n">
        <v>2.53699859412313</v>
      </c>
      <c r="AQ213" s="0" t="n">
        <v>0.0001375675206945</v>
      </c>
      <c r="AR213" s="0" t="n">
        <v>0.0001065239106945</v>
      </c>
      <c r="AS213" s="0" t="n">
        <v>0.998664265136556</v>
      </c>
      <c r="AT213" s="0" t="n">
        <v>0.0593753860483302</v>
      </c>
      <c r="AU213" s="3" t="n">
        <v>0.0597179762402536</v>
      </c>
      <c r="AV213" s="0" t="n">
        <v>0.461100877635534</v>
      </c>
      <c r="AW213" s="0" t="n">
        <v>0.0002484716519615</v>
      </c>
      <c r="AZ213" s="0" t="n">
        <v>0.288289095759393</v>
      </c>
      <c r="BA213" s="0" t="n">
        <v>0.269489095759393</v>
      </c>
      <c r="BC213" s="0" t="n">
        <v>0.238948185966438</v>
      </c>
      <c r="BD213" s="0" t="n">
        <v>0.220148185966438</v>
      </c>
      <c r="BE213" s="0" t="n">
        <v>0.0978194140034363</v>
      </c>
      <c r="BF213" s="3" t="n">
        <v>0.0588194140034363</v>
      </c>
      <c r="BG213" s="0" t="n">
        <v>0.0333703530573473</v>
      </c>
      <c r="BH213" s="0" t="n">
        <f aca="false">M213/BG213</f>
        <v>0.768962557877424</v>
      </c>
      <c r="BI213" s="0" t="n">
        <v>3.06619867168E-009</v>
      </c>
      <c r="BJ213" s="0" t="n">
        <v>0.409056456930023</v>
      </c>
      <c r="BK213" s="0" t="n">
        <v>0.0471180052074601</v>
      </c>
      <c r="BL213" s="0" t="n">
        <v>0.130012388561044</v>
      </c>
      <c r="BM213" s="0" t="n">
        <v>0.111212388561044</v>
      </c>
      <c r="BN213" s="0" t="e">
        <f aca="false">#REF!/#REF!</f>
        <v>#REF!</v>
      </c>
      <c r="BO213" s="20" t="n">
        <v>0.10404769655</v>
      </c>
    </row>
    <row r="214" customFormat="false" ht="12.8" hidden="false" customHeight="false" outlineLevel="0" collapsed="false">
      <c r="A214" s="16" t="s">
        <v>267</v>
      </c>
      <c r="B214" s="0" t="s">
        <v>50</v>
      </c>
      <c r="C214" s="21" t="s">
        <v>59</v>
      </c>
      <c r="D214" s="0" t="s">
        <v>187</v>
      </c>
      <c r="E214" s="18" t="n">
        <v>0.0493275</v>
      </c>
      <c r="F214" s="18" t="n">
        <v>0.699725</v>
      </c>
      <c r="G214" s="0" t="n">
        <v>96</v>
      </c>
      <c r="H214" s="0" t="n">
        <v>67</v>
      </c>
      <c r="I214" s="18" t="s">
        <v>53</v>
      </c>
      <c r="J214" s="22" t="n">
        <v>0</v>
      </c>
      <c r="K214" s="18" t="n">
        <v>0.089884</v>
      </c>
      <c r="L214" s="18" t="n">
        <v>0.00280207038489449</v>
      </c>
      <c r="M214" s="1" t="n">
        <v>0.0353779897531357</v>
      </c>
      <c r="N214" s="0" t="n">
        <v>0.123847331645819</v>
      </c>
      <c r="O214" s="0" t="n">
        <v>0.129083295700059</v>
      </c>
      <c r="P214" s="18" t="n">
        <v>0.104416630701553</v>
      </c>
      <c r="Q214" s="0" t="n">
        <v>0.157226644547473</v>
      </c>
      <c r="R214" s="19" t="n">
        <v>0.0179492057224</v>
      </c>
      <c r="S214" s="19" t="n">
        <v>0.0151471353375055</v>
      </c>
      <c r="T214" s="0" t="n">
        <v>-2.78190267733333E-005</v>
      </c>
      <c r="U214" s="19" t="n">
        <v>0</v>
      </c>
      <c r="V214" s="19" t="n">
        <v>0.000139986114786667</v>
      </c>
      <c r="Z214" s="1"/>
      <c r="AA214" s="1"/>
      <c r="AB214" s="19"/>
      <c r="AJ214" s="0" t="n">
        <v>100</v>
      </c>
      <c r="AK214" s="0" t="n">
        <v>0.000168214766626</v>
      </c>
      <c r="AL214" s="0" t="n">
        <f aca="false">AK214-0.0000278190267733333</f>
        <v>0.000140395739852667</v>
      </c>
      <c r="AM214" s="0" t="n">
        <v>100</v>
      </c>
      <c r="AN214" s="12" t="n">
        <v>0</v>
      </c>
      <c r="AO214" s="0" t="n">
        <v>9.97219038201667E-005</v>
      </c>
      <c r="AP214" s="0" t="n">
        <v>1.84042179142263</v>
      </c>
      <c r="AQ214" s="0" t="n">
        <v>0.00016780514156</v>
      </c>
      <c r="AR214" s="0" t="n">
        <v>0.000139986114786667</v>
      </c>
      <c r="AS214" s="0" t="n">
        <v>0.0298042024568947</v>
      </c>
      <c r="AT214" s="0" t="n">
        <v>2.21213335132587E-019</v>
      </c>
      <c r="AU214" s="3" t="n">
        <v>0.031293844306328</v>
      </c>
      <c r="AV214" s="0" t="n">
        <v>0.202668129349406</v>
      </c>
      <c r="AW214" s="0" t="n">
        <v>0.000176280317699667</v>
      </c>
      <c r="AZ214" s="0" t="n">
        <v>0.161991168134698</v>
      </c>
      <c r="BA214" s="0" t="n">
        <v>0.142491168134698</v>
      </c>
      <c r="BC214" s="0" t="n">
        <v>0.123916630701553</v>
      </c>
      <c r="BD214" s="0" t="n">
        <v>0.104416630701553</v>
      </c>
      <c r="BE214" s="0" t="n">
        <v>0.0667751978260572</v>
      </c>
      <c r="BF214" s="3" t="n">
        <v>0.0291751978260572</v>
      </c>
      <c r="BG214" s="0" t="n">
        <v>0.0396947784134574</v>
      </c>
      <c r="BH214" s="0" t="n">
        <f aca="false">M214/BG214</f>
        <v>0.891250465858295</v>
      </c>
      <c r="BI214" s="0" t="n">
        <v>0.0526713700552368</v>
      </c>
      <c r="BJ214" s="0" t="n">
        <v>0.625325390231389</v>
      </c>
      <c r="BK214" s="0" t="n">
        <v>0</v>
      </c>
      <c r="BL214" s="0" t="n">
        <v>0</v>
      </c>
      <c r="BM214" s="0" t="n">
        <v>0</v>
      </c>
      <c r="BN214" s="0" t="e">
        <f aca="false">#REF!/#REF!</f>
        <v>#REF!</v>
      </c>
      <c r="BO214" s="20" t="n">
        <v>0.0125059889932</v>
      </c>
    </row>
    <row r="215" customFormat="false" ht="12.8" hidden="false" customHeight="false" outlineLevel="0" collapsed="false">
      <c r="A215" s="16" t="s">
        <v>268</v>
      </c>
      <c r="B215" s="0" t="s">
        <v>50</v>
      </c>
      <c r="C215" s="0" t="s">
        <v>51</v>
      </c>
      <c r="D215" s="0" t="s">
        <v>187</v>
      </c>
      <c r="E215" s="18" t="n">
        <v>0.27385</v>
      </c>
      <c r="F215" s="18" t="n">
        <v>2.512</v>
      </c>
      <c r="G215" s="0" t="n">
        <v>784</v>
      </c>
      <c r="H215" s="0" t="n">
        <v>718</v>
      </c>
      <c r="I215" s="18" t="s">
        <v>53</v>
      </c>
      <c r="J215" s="18" t="n">
        <v>0.013875</v>
      </c>
      <c r="K215" s="18" t="n">
        <v>0.241488</v>
      </c>
      <c r="L215" s="18" t="n">
        <v>0.025475877379381</v>
      </c>
      <c r="M215" s="1" t="n">
        <v>0.0245398681741119</v>
      </c>
      <c r="N215" s="0" t="n">
        <v>0.211650215268335</v>
      </c>
      <c r="O215" s="0" t="n">
        <v>0.262240986404193</v>
      </c>
      <c r="P215" s="18" t="n">
        <v>0.220846524865664</v>
      </c>
      <c r="Q215" s="0" t="n">
        <v>0.274609626625368</v>
      </c>
      <c r="R215" s="19" t="n">
        <v>0.15324394655</v>
      </c>
      <c r="S215" s="19" t="n">
        <v>0.127768069170619</v>
      </c>
      <c r="T215" s="0" t="n">
        <v>8.2736465631E-005</v>
      </c>
      <c r="U215" s="19" t="n">
        <v>0.000113780075631</v>
      </c>
      <c r="V215" s="19" t="n">
        <v>0.000126867746319</v>
      </c>
      <c r="Z215" s="1"/>
      <c r="AA215" s="1"/>
      <c r="AB215" s="19"/>
      <c r="AJ215" s="0" t="n">
        <v>3.56353925627526</v>
      </c>
      <c r="AK215" s="0" t="n">
        <v>0.0001581591088285</v>
      </c>
      <c r="AL215" s="0" t="n">
        <f aca="false">AK215-0.00003104361</f>
        <v>0.0001271154988285</v>
      </c>
      <c r="AM215" s="0" t="n">
        <v>100</v>
      </c>
      <c r="AN215" s="0" t="n">
        <v>7.8546531588084E-020</v>
      </c>
      <c r="AO215" s="0" t="n">
        <v>8.2736465631E-005</v>
      </c>
      <c r="AP215" s="0" t="n">
        <v>3.56353925627526</v>
      </c>
      <c r="AQ215" s="0" t="n">
        <v>0.000157911356319</v>
      </c>
      <c r="AR215" s="0" t="n">
        <v>0.000126867746319</v>
      </c>
      <c r="AS215" s="0" t="n">
        <v>0.722114174125714</v>
      </c>
      <c r="AT215" s="0" t="n">
        <v>7.55279278552639E-021</v>
      </c>
      <c r="AU215" s="3" t="n">
        <v>0.071098229436683</v>
      </c>
      <c r="AV215" s="0" t="n">
        <v>0.012313510437076</v>
      </c>
      <c r="AW215" s="0" t="n">
        <v>0.000214921841598</v>
      </c>
      <c r="AZ215" s="0" t="n">
        <v>0.241089764466869</v>
      </c>
      <c r="BA215" s="0" t="n">
        <v>0.221589764466869</v>
      </c>
      <c r="BC215" s="0" t="n">
        <v>0.240346524865664</v>
      </c>
      <c r="BD215" s="0" t="n">
        <v>0.220846524865664</v>
      </c>
      <c r="BE215" s="0" t="n">
        <v>0.114032010408005</v>
      </c>
      <c r="BF215" s="3" t="n">
        <v>0.075032010408005</v>
      </c>
      <c r="BG215" s="0" t="n">
        <v>0.0344447456190913</v>
      </c>
      <c r="BH215" s="0" t="n">
        <f aca="false">M215/BG215</f>
        <v>0.712441556267742</v>
      </c>
      <c r="BI215" s="0" t="n">
        <v>2.82490413593329E-023</v>
      </c>
      <c r="BJ215" s="0" t="n">
        <v>0.482555121476668</v>
      </c>
      <c r="BK215" s="0" t="n">
        <v>0.178813517106151</v>
      </c>
      <c r="BL215" s="0" t="n">
        <v>0.225638258455857</v>
      </c>
      <c r="BM215" s="0" t="n">
        <v>0.206138258455857</v>
      </c>
      <c r="BN215" s="0" t="e">
        <f aca="false">#REF!/#REF!</f>
        <v>#REF!</v>
      </c>
      <c r="BO215" s="20" t="n">
        <v>0.134807155595</v>
      </c>
    </row>
    <row r="216" customFormat="false" ht="12.8" hidden="false" customHeight="false" outlineLevel="0" collapsed="false">
      <c r="A216" s="16" t="s">
        <v>269</v>
      </c>
      <c r="B216" s="0" t="s">
        <v>50</v>
      </c>
      <c r="C216" s="21" t="s">
        <v>51</v>
      </c>
      <c r="D216" s="0" t="s">
        <v>187</v>
      </c>
      <c r="E216" s="18" t="n">
        <v>0.16155</v>
      </c>
      <c r="F216" s="18" t="n">
        <v>1.99175</v>
      </c>
      <c r="G216" s="0" t="n">
        <v>398</v>
      </c>
      <c r="H216" s="0" t="n">
        <v>351</v>
      </c>
      <c r="I216" s="18" t="s">
        <v>55</v>
      </c>
      <c r="J216" s="18" t="n">
        <v>0.011996</v>
      </c>
      <c r="K216" s="18" t="n">
        <v>0.0754151</v>
      </c>
      <c r="L216" s="18" t="n">
        <v>0.0129475166792399</v>
      </c>
      <c r="M216" s="1" t="n">
        <v>0.0264336247791468</v>
      </c>
      <c r="N216" s="0" t="n">
        <v>0.230196567620507</v>
      </c>
      <c r="O216" s="0" t="n">
        <v>0.297090729641934</v>
      </c>
      <c r="P216" s="18" t="n">
        <v>0.173147098439525</v>
      </c>
      <c r="Q216" s="0" t="n">
        <v>0.246365358539812</v>
      </c>
      <c r="R216" s="19" t="n">
        <v>0.111355527305</v>
      </c>
      <c r="S216" s="19" t="n">
        <v>0.0984080106257601</v>
      </c>
      <c r="T216" s="0" t="n">
        <v>7.4535615565E-005</v>
      </c>
      <c r="U216" s="19" t="n">
        <v>0.000105579225565</v>
      </c>
      <c r="V216" s="19" t="n">
        <v>0.000169074134918</v>
      </c>
      <c r="Z216" s="1"/>
      <c r="AA216" s="1"/>
      <c r="AB216" s="19"/>
      <c r="AJ216" s="0" t="n">
        <v>5.25494700330752</v>
      </c>
      <c r="AK216" s="0" t="n">
        <v>0.0002042210680165</v>
      </c>
      <c r="AL216" s="0" t="n">
        <f aca="false">AK216-0.00003104361</f>
        <v>0.0001731774580165</v>
      </c>
      <c r="AM216" s="0" t="n">
        <v>100</v>
      </c>
      <c r="AN216" s="0" t="n">
        <v>3.67921159174313E-023</v>
      </c>
      <c r="AO216" s="0" t="n">
        <v>7.4412316375E-005</v>
      </c>
      <c r="AP216" s="0" t="n">
        <v>2.18815400470061</v>
      </c>
      <c r="AQ216" s="0" t="n">
        <v>0.000200117744918</v>
      </c>
      <c r="AR216" s="0" t="n">
        <v>0.000169074134918</v>
      </c>
      <c r="AS216" s="0" t="n">
        <v>0.984102186282739</v>
      </c>
      <c r="AT216" s="0" t="n">
        <v>4.37100467496307E-025</v>
      </c>
      <c r="AU216" s="3" t="n">
        <v>0.091547873405229</v>
      </c>
      <c r="AV216" s="0" t="n">
        <v>1.00087038044E-009</v>
      </c>
      <c r="AW216" s="0" t="n">
        <v>0.000109033624192</v>
      </c>
      <c r="AZ216" s="0" t="n">
        <v>0.276712581912656</v>
      </c>
      <c r="BA216" s="0" t="n">
        <v>0.257212581912656</v>
      </c>
      <c r="BC216" s="0" t="n">
        <v>0.192647098439525</v>
      </c>
      <c r="BD216" s="0" t="n">
        <v>0.173147098439525</v>
      </c>
      <c r="BE216" s="0" t="n">
        <v>0.0992986022098902</v>
      </c>
      <c r="BF216" s="3" t="n">
        <v>0.0602986022098902</v>
      </c>
      <c r="BG216" s="0" t="n">
        <v>0.0434968879119477</v>
      </c>
      <c r="BH216" s="0" t="n">
        <f aca="false">M216/BG216</f>
        <v>0.607713012311532</v>
      </c>
      <c r="BI216" s="0" t="n">
        <v>8.51522381349959E-019</v>
      </c>
      <c r="BJ216" s="0" t="n">
        <v>0.507905332514866</v>
      </c>
      <c r="BK216" s="0" t="n">
        <v>0.0917417881099287</v>
      </c>
      <c r="BL216" s="0" t="n">
        <v>0.198960338411143</v>
      </c>
      <c r="BM216" s="0" t="n">
        <v>0.179460338411143</v>
      </c>
      <c r="BN216" s="0" t="e">
        <f aca="false">#REF!/#REF!</f>
        <v>#REF!</v>
      </c>
      <c r="BO216" s="20" t="n">
        <v>0.104926501935</v>
      </c>
    </row>
    <row r="217" customFormat="false" ht="12.8" hidden="false" customHeight="false" outlineLevel="0" collapsed="false">
      <c r="A217" s="16" t="s">
        <v>270</v>
      </c>
      <c r="B217" s="0" t="s">
        <v>50</v>
      </c>
      <c r="C217" s="0" t="s">
        <v>51</v>
      </c>
      <c r="D217" s="0" t="s">
        <v>187</v>
      </c>
      <c r="E217" s="18" t="n">
        <v>0.315525</v>
      </c>
      <c r="F217" s="18" t="n">
        <v>2.937</v>
      </c>
      <c r="G217" s="0" t="n">
        <v>906</v>
      </c>
      <c r="H217" s="0" t="n">
        <v>839</v>
      </c>
      <c r="I217" s="18" t="s">
        <v>55</v>
      </c>
      <c r="J217" s="18" t="n">
        <v>0.037182</v>
      </c>
      <c r="K217" s="18" t="n">
        <v>0.1333564</v>
      </c>
      <c r="L217" s="18" t="n">
        <v>0.0294739421177717</v>
      </c>
      <c r="M217" s="1" t="n">
        <v>0.0240394562724072</v>
      </c>
      <c r="N217" s="0" t="n">
        <v>0.234008996904828</v>
      </c>
      <c r="O217" s="0" t="n">
        <v>0.277007614113709</v>
      </c>
      <c r="P217" s="18" t="n">
        <v>0.23873581290039</v>
      </c>
      <c r="Q217" s="0" t="n">
        <v>0.252388314065419</v>
      </c>
      <c r="R217" s="19" t="n">
        <v>0.17738089657</v>
      </c>
      <c r="S217" s="19" t="n">
        <v>0.147906954452228</v>
      </c>
      <c r="T217" s="0" t="n">
        <v>7.77516134535E-005</v>
      </c>
      <c r="U217" s="19" t="n">
        <v>0.0001087952234535</v>
      </c>
      <c r="V217" s="19" t="n">
        <v>0.000128503363422</v>
      </c>
      <c r="Z217" s="1"/>
      <c r="AA217" s="1"/>
      <c r="AB217" s="19"/>
      <c r="AJ217" s="0" t="n">
        <v>3.02689464048475</v>
      </c>
      <c r="AK217" s="0" t="n">
        <v>0</v>
      </c>
      <c r="AL217" s="0" t="n">
        <f aca="false">AK217-0.00003104361</f>
        <v>-3.104361E-005</v>
      </c>
      <c r="AM217" s="0" t="n">
        <v>100</v>
      </c>
      <c r="AN217" s="0" t="n">
        <v>0</v>
      </c>
      <c r="AO217" s="0" t="n">
        <v>7.7191287054E-005</v>
      </c>
      <c r="AP217" s="0" t="n">
        <v>3.13684121986954</v>
      </c>
      <c r="AQ217" s="0" t="n">
        <v>0.000159546973422</v>
      </c>
      <c r="AR217" s="0" t="n">
        <v>0.000128503363422</v>
      </c>
      <c r="AS217" s="0" t="n">
        <v>0.588102193056134</v>
      </c>
      <c r="AT217" s="0" t="n">
        <v>0.172256044694285</v>
      </c>
      <c r="AU217" s="3" t="n">
        <v>0.081427284492153</v>
      </c>
      <c r="AV217" s="0" t="n">
        <v>0.166891109740173</v>
      </c>
      <c r="AW217" s="0" t="n">
        <v>0.000207263791747</v>
      </c>
      <c r="AZ217" s="0" t="n">
        <v>0.254472243585421</v>
      </c>
      <c r="BA217" s="0" t="n">
        <v>0.235672243585421</v>
      </c>
      <c r="BC217" s="0" t="n">
        <v>0.25753581290039</v>
      </c>
      <c r="BD217" s="0" t="n">
        <v>0.23873581290039</v>
      </c>
      <c r="BE217" s="0" t="n">
        <v>0.12361468364522</v>
      </c>
      <c r="BF217" s="3" t="n">
        <v>0.08461468364522</v>
      </c>
      <c r="BG217" s="0" t="n">
        <v>0.0346503794144993</v>
      </c>
      <c r="BH217" s="0" t="n">
        <f aca="false">M217/BG217</f>
        <v>0.693771805059889</v>
      </c>
      <c r="BI217" s="0" t="n">
        <v>6.16021287679097E-021</v>
      </c>
      <c r="BJ217" s="0" t="n">
        <v>0.513518901402955</v>
      </c>
      <c r="BK217" s="0" t="n">
        <v>0.101356738082481</v>
      </c>
      <c r="BL217" s="0" t="n">
        <v>0.171618204846102</v>
      </c>
      <c r="BM217" s="0" t="n">
        <v>0.152818204846102</v>
      </c>
      <c r="BN217" s="0" t="e">
        <f aca="false">#REF!/#REF!</f>
        <v>#REF!</v>
      </c>
      <c r="BO217" s="20" t="n">
        <v>0.155437382035</v>
      </c>
    </row>
    <row r="218" customFormat="false" ht="12.8" hidden="false" customHeight="false" outlineLevel="0" collapsed="false">
      <c r="A218" s="16" t="s">
        <v>271</v>
      </c>
      <c r="B218" s="0" t="s">
        <v>50</v>
      </c>
      <c r="C218" s="21" t="s">
        <v>59</v>
      </c>
      <c r="D218" s="0" t="s">
        <v>187</v>
      </c>
      <c r="E218" s="18" t="n">
        <v>0.0623425</v>
      </c>
      <c r="F218" s="18" t="n">
        <v>0.936875</v>
      </c>
      <c r="G218" s="0" t="n">
        <v>179</v>
      </c>
      <c r="H218" s="0" t="n">
        <v>136</v>
      </c>
      <c r="I218" s="18" t="s">
        <v>53</v>
      </c>
      <c r="J218" s="22" t="n">
        <v>0</v>
      </c>
      <c r="K218" s="18" t="n">
        <v>0.012215</v>
      </c>
      <c r="L218" s="18" t="n">
        <v>0.00522661342197006</v>
      </c>
      <c r="M218" s="1" t="n">
        <v>0.0302500847441153</v>
      </c>
      <c r="N218" s="0" t="n">
        <v>0.234236430723893</v>
      </c>
      <c r="O218" s="0" t="n">
        <v>0.17257867687575</v>
      </c>
      <c r="P218" s="18" t="n">
        <v>0.138699268603248</v>
      </c>
      <c r="Q218" s="0" t="n">
        <v>0.226207591940251</v>
      </c>
      <c r="R218" s="19" t="n">
        <v>0.0309491863296</v>
      </c>
      <c r="S218" s="19" t="n">
        <v>0.0257225729076299</v>
      </c>
      <c r="T218" s="0" t="n">
        <v>7.93467101746667E-005</v>
      </c>
      <c r="U218" s="19" t="n">
        <v>0.000107165736948</v>
      </c>
      <c r="V218" s="19" t="n">
        <v>0.000111033822858667</v>
      </c>
      <c r="Z218" s="1"/>
      <c r="AA218" s="1"/>
      <c r="AB218" s="19"/>
      <c r="AJ218" s="0" t="n">
        <v>1.21804761131825</v>
      </c>
      <c r="AK218" s="0" t="n">
        <v>0.000138852849632</v>
      </c>
      <c r="AL218" s="0" t="n">
        <f aca="false">AK218-0.0000278190267733333</f>
        <v>0.000111033822858667</v>
      </c>
      <c r="AM218" s="0" t="n">
        <v>100</v>
      </c>
      <c r="AN218" s="0" t="n">
        <v>0.0861280223471425</v>
      </c>
      <c r="AO218" s="0" t="n">
        <v>7.93467101746667E-005</v>
      </c>
      <c r="AP218" s="0" t="n">
        <v>1.21804761131825</v>
      </c>
      <c r="AQ218" s="0" t="n">
        <v>0.000138852849632</v>
      </c>
      <c r="AR218" s="0" t="n">
        <v>0.000111033822858667</v>
      </c>
      <c r="AS218" s="0" t="n">
        <v>0.284440559268448</v>
      </c>
      <c r="AT218" s="0" t="n">
        <v>1.00216632740257E-030</v>
      </c>
      <c r="AU218" s="3" t="n">
        <v>0.0317002065262039</v>
      </c>
      <c r="AV218" s="0" t="n">
        <v>0.19124603997216</v>
      </c>
      <c r="AW218" s="0" t="n">
        <v>0.000270333698105667</v>
      </c>
      <c r="AZ218" s="0" t="n">
        <v>0.217652289028925</v>
      </c>
      <c r="BA218" s="0" t="n">
        <v>0.198152289028925</v>
      </c>
      <c r="BC218" s="0" t="n">
        <v>0.158199268603248</v>
      </c>
      <c r="BD218" s="0" t="n">
        <v>0.138699268603248</v>
      </c>
      <c r="BE218" s="0" t="n">
        <v>0.0607595975281202</v>
      </c>
      <c r="BF218" s="3" t="n">
        <v>0.0231595975281202</v>
      </c>
      <c r="BG218" s="0" t="n">
        <v>0.0345048197507706</v>
      </c>
      <c r="BH218" s="0" t="n">
        <f aca="false">M218/BG218</f>
        <v>0.876691574180437</v>
      </c>
      <c r="BI218" s="0" t="n">
        <v>0.0504664485929296</v>
      </c>
      <c r="BJ218" s="0" t="n">
        <v>0.452829113638063</v>
      </c>
      <c r="BK218" s="0" t="n">
        <v>0</v>
      </c>
      <c r="BL218" s="0" t="n">
        <v>0</v>
      </c>
      <c r="BM218" s="0" t="n">
        <v>0</v>
      </c>
      <c r="BN218" s="0" t="e">
        <f aca="false">#REF!/#REF!</f>
        <v>#REF!</v>
      </c>
      <c r="BO218" s="20" t="n">
        <v>0.0250901232016</v>
      </c>
    </row>
    <row r="219" customFormat="false" ht="12.8" hidden="false" customHeight="false" outlineLevel="0" collapsed="false">
      <c r="A219" s="16" t="s">
        <v>272</v>
      </c>
      <c r="B219" s="0" t="s">
        <v>50</v>
      </c>
      <c r="C219" s="0" t="s">
        <v>51</v>
      </c>
      <c r="D219" s="0" t="s">
        <v>187</v>
      </c>
      <c r="E219" s="18" t="n">
        <v>0.315875</v>
      </c>
      <c r="F219" s="18" t="n">
        <v>2.8135</v>
      </c>
      <c r="G219" s="0" t="n">
        <v>992</v>
      </c>
      <c r="H219" s="0" t="n">
        <v>925</v>
      </c>
      <c r="I219" s="18" t="s">
        <v>55</v>
      </c>
      <c r="J219" s="18" t="n">
        <v>0.032724</v>
      </c>
      <c r="K219" s="18" t="n">
        <v>0.222631</v>
      </c>
      <c r="L219" s="18" t="n">
        <v>0.0322704575103114</v>
      </c>
      <c r="M219" s="1" t="n">
        <v>0.0235099886082606</v>
      </c>
      <c r="N219" s="0" t="n">
        <v>0.31635355647328</v>
      </c>
      <c r="O219" s="0" t="n">
        <v>0.283938027654786</v>
      </c>
      <c r="P219" s="18" t="n">
        <v>0.248851960932132</v>
      </c>
      <c r="Q219" s="0" t="n">
        <v>0.392484102926618</v>
      </c>
      <c r="R219" s="19" t="n">
        <v>0.192862418245</v>
      </c>
      <c r="S219" s="19" t="n">
        <v>0.160591960734689</v>
      </c>
      <c r="T219" s="0" t="n">
        <v>7.8294997485E-005</v>
      </c>
      <c r="U219" s="19" t="n">
        <v>0.000109338607485</v>
      </c>
      <c r="V219" s="19" t="n">
        <v>0.00012189351243</v>
      </c>
      <c r="Z219" s="1"/>
      <c r="AA219" s="1"/>
      <c r="AB219" s="19"/>
      <c r="AJ219" s="0" t="n">
        <v>1.58305439719069</v>
      </c>
      <c r="AK219" s="0" t="n">
        <v>0.000155697030974</v>
      </c>
      <c r="AL219" s="0" t="n">
        <f aca="false">AK219-0.00003104361</f>
        <v>0.000124653420974</v>
      </c>
      <c r="AM219" s="0" t="n">
        <v>100</v>
      </c>
      <c r="AN219" s="0" t="n">
        <v>7.19740392403202E-033</v>
      </c>
      <c r="AO219" s="0" t="n">
        <v>7.824166411E-005</v>
      </c>
      <c r="AP219" s="0" t="n">
        <v>1.43665021642934</v>
      </c>
      <c r="AQ219" s="0" t="n">
        <v>0.00015293712243</v>
      </c>
      <c r="AR219" s="0" t="n">
        <v>0.00012189351243</v>
      </c>
      <c r="AS219" s="0" t="n">
        <v>0.851790005866695</v>
      </c>
      <c r="AT219" s="0" t="n">
        <v>6.152318021699E-008</v>
      </c>
      <c r="AU219" s="3" t="n">
        <v>0.089866872187845</v>
      </c>
      <c r="AV219" s="0" t="n">
        <v>0.160585081430497</v>
      </c>
      <c r="AW219" s="0" t="n">
        <v>0.0001958850436145</v>
      </c>
      <c r="AZ219" s="0" t="n">
        <v>0.28255513771775</v>
      </c>
      <c r="BA219" s="0" t="n">
        <v>0.26375513771775</v>
      </c>
      <c r="BC219" s="0" t="n">
        <v>0.267651960932132</v>
      </c>
      <c r="BD219" s="0" t="n">
        <v>0.248851960932132</v>
      </c>
      <c r="BE219" s="0" t="n">
        <v>0.128614382806429</v>
      </c>
      <c r="BF219" s="3" t="n">
        <v>0.089614382806429</v>
      </c>
      <c r="BG219" s="0" t="n">
        <v>0.0332844219018398</v>
      </c>
      <c r="BH219" s="0" t="n">
        <f aca="false">M219/BG219</f>
        <v>0.706336095534262</v>
      </c>
      <c r="BI219" s="0" t="n">
        <v>3.80592913702204E-027</v>
      </c>
      <c r="BJ219" s="0" t="n">
        <v>0.488407050109328</v>
      </c>
      <c r="BK219" s="0" t="n">
        <v>0.113165907672344</v>
      </c>
      <c r="BL219" s="0" t="n">
        <v>0.172701660566306</v>
      </c>
      <c r="BM219" s="0" t="n">
        <v>0.153901660566306</v>
      </c>
      <c r="BN219" s="0" t="e">
        <f aca="false">#REF!/#REF!</f>
        <v>#REF!</v>
      </c>
      <c r="BO219" s="20" t="n">
        <v>0.173662359095</v>
      </c>
    </row>
    <row r="220" customFormat="false" ht="12.8" hidden="false" customHeight="false" outlineLevel="0" collapsed="false">
      <c r="A220" s="16" t="s">
        <v>273</v>
      </c>
      <c r="B220" s="0" t="s">
        <v>50</v>
      </c>
      <c r="C220" s="21" t="s">
        <v>59</v>
      </c>
      <c r="D220" s="0" t="s">
        <v>187</v>
      </c>
      <c r="E220" s="18" t="n">
        <v>0.202725</v>
      </c>
      <c r="F220" s="18" t="n">
        <v>2.135</v>
      </c>
      <c r="G220" s="0" t="n">
        <v>615</v>
      </c>
      <c r="H220" s="0" t="n">
        <v>559</v>
      </c>
      <c r="I220" s="18" t="s">
        <v>53</v>
      </c>
      <c r="J220" s="22" t="n">
        <v>0</v>
      </c>
      <c r="K220" s="18" t="n">
        <v>0.146736</v>
      </c>
      <c r="L220" s="18" t="n">
        <v>0.0179560170897738</v>
      </c>
      <c r="M220" s="1" t="n">
        <v>0.0262305249481734</v>
      </c>
      <c r="N220" s="0" t="n">
        <v>0.225466190694937</v>
      </c>
      <c r="O220" s="0" t="n">
        <v>0.221201491663375</v>
      </c>
      <c r="P220" s="18" t="n">
        <v>0.190299163229462</v>
      </c>
      <c r="Q220" s="0" t="n">
        <v>0.239637250408921</v>
      </c>
      <c r="R220" s="19" t="n">
        <v>0.1126098916</v>
      </c>
      <c r="S220" s="0" t="n">
        <v>0.0946538745102262</v>
      </c>
      <c r="T220" s="0" t="n">
        <v>8.97780099896667E-005</v>
      </c>
      <c r="U220" s="0" t="n">
        <v>0.000117597036763</v>
      </c>
      <c r="V220" s="0" t="n">
        <v>0.000125026746183167</v>
      </c>
      <c r="Z220" s="1"/>
      <c r="AA220" s="1"/>
      <c r="AB220" s="19"/>
      <c r="AJ220" s="0" t="n">
        <v>1.40061428642641</v>
      </c>
      <c r="AK220" s="0" t="n">
        <v>0</v>
      </c>
      <c r="AL220" s="0" t="n">
        <f aca="false">AK220-0.0000278190267733333</f>
        <v>-2.78190267733333E-005</v>
      </c>
      <c r="AM220" s="0" t="n">
        <v>100</v>
      </c>
      <c r="AN220" s="0" t="n">
        <v>0</v>
      </c>
      <c r="AO220" s="0" t="n">
        <v>8.98785078966667E-005</v>
      </c>
      <c r="AP220" s="0" t="n">
        <v>1.40266653152297</v>
      </c>
      <c r="AQ220" s="0" t="n">
        <v>0.0001528457729565</v>
      </c>
      <c r="AR220" s="0" t="n">
        <v>0.000125026746183167</v>
      </c>
      <c r="AS220" s="0" t="n">
        <v>0.760230931517407</v>
      </c>
      <c r="AT220" s="0" t="n">
        <v>0</v>
      </c>
      <c r="AU220" s="3" t="n">
        <v>0.064017869874986</v>
      </c>
      <c r="AV220" s="0" t="n">
        <v>0.0035859743983003</v>
      </c>
      <c r="AW220" s="0" t="n">
        <v>0.000203666081081667</v>
      </c>
      <c r="AZ220" s="0" t="n">
        <v>0.272934543960122</v>
      </c>
      <c r="BA220" s="0" t="n">
        <v>0.253434543960122</v>
      </c>
      <c r="BC220" s="0" t="n">
        <v>0.209799163229462</v>
      </c>
      <c r="BD220" s="0" t="n">
        <v>0.190299163229462</v>
      </c>
      <c r="BE220" s="0" t="n">
        <v>0.109485695615359</v>
      </c>
      <c r="BF220" s="3" t="n">
        <v>0.071885695615359</v>
      </c>
      <c r="BG220" s="0" t="n">
        <v>0.034296229690993</v>
      </c>
      <c r="BH220" s="0" t="n">
        <f aca="false">M220/BG220</f>
        <v>0.764822407142385</v>
      </c>
      <c r="BI220" s="0" t="n">
        <v>1.496365818E-010</v>
      </c>
      <c r="BJ220" s="0" t="n">
        <v>0.534567475131287</v>
      </c>
      <c r="BK220" s="0" t="n">
        <v>0</v>
      </c>
      <c r="BL220" s="0" t="n">
        <v>0</v>
      </c>
      <c r="BM220" s="0" t="n">
        <v>0</v>
      </c>
      <c r="BN220" s="0" t="e">
        <f aca="false">#REF!/#REF!</f>
        <v>#REF!</v>
      </c>
      <c r="BO220" s="20" t="n">
        <v>0.098818187928</v>
      </c>
    </row>
    <row r="221" customFormat="false" ht="12.8" hidden="false" customHeight="false" outlineLevel="0" collapsed="false">
      <c r="A221" s="16" t="s">
        <v>49</v>
      </c>
      <c r="B221" s="0" t="s">
        <v>111</v>
      </c>
      <c r="C221" s="21" t="s">
        <v>59</v>
      </c>
      <c r="D221" s="0" t="s">
        <v>187</v>
      </c>
      <c r="E221" s="0" t="n">
        <v>0.276375</v>
      </c>
      <c r="F221" s="0" t="n">
        <v>3.018</v>
      </c>
      <c r="G221" s="0" t="n">
        <v>490</v>
      </c>
      <c r="H221" s="0" t="n">
        <v>438</v>
      </c>
      <c r="I221" s="0" t="s">
        <v>55</v>
      </c>
      <c r="J221" s="0" t="n">
        <v>0</v>
      </c>
      <c r="K221" s="0" t="n">
        <v>0.109882</v>
      </c>
      <c r="L221" s="0" t="n">
        <v>0.0221994655984069</v>
      </c>
      <c r="M221" s="1" t="n">
        <v>0.0471975793477868</v>
      </c>
      <c r="N221" s="0" t="n">
        <v>0.175713541972345</v>
      </c>
      <c r="O221" s="0" t="n">
        <v>0.367573258141287</v>
      </c>
      <c r="P221" s="0" t="n">
        <v>0.246076695400276</v>
      </c>
      <c r="Q221" s="0" t="n">
        <v>0.248451844693014</v>
      </c>
      <c r="R221" s="11" t="n">
        <v>0.229244789752</v>
      </c>
      <c r="S221" s="0" t="n">
        <v>0.207045324153593</v>
      </c>
      <c r="T221" s="0" t="n">
        <v>0.0002293527894175</v>
      </c>
      <c r="U221" s="0" t="n">
        <v>0.0002715447433375</v>
      </c>
      <c r="V221" s="0" t="n">
        <v>0.000317290910934</v>
      </c>
      <c r="Z221" s="1"/>
      <c r="AA221" s="1"/>
      <c r="AB221" s="11"/>
      <c r="AJ221" s="0" t="n">
        <v>1.81697549192365</v>
      </c>
      <c r="AK221" s="0" t="n">
        <v>0.0003642849067705</v>
      </c>
      <c r="AL221" s="0" t="n">
        <f aca="false">AK221-0.00004219195392</f>
        <v>0.0003220929528505</v>
      </c>
      <c r="AM221" s="0" t="n">
        <v>1.14933227841743</v>
      </c>
      <c r="AN221" s="0" t="n">
        <v>9.28854956584E-009</v>
      </c>
      <c r="AO221" s="0" t="n">
        <v>0.000226190573308</v>
      </c>
      <c r="AP221" s="0" t="n">
        <v>1.99802227677736</v>
      </c>
      <c r="AQ221" s="0" t="n">
        <v>0.000359482864854</v>
      </c>
      <c r="AR221" s="0" t="n">
        <v>0.000317290910934</v>
      </c>
      <c r="AS221" s="0" t="n">
        <v>0.984913490144916</v>
      </c>
      <c r="AT221" s="0" t="n">
        <v>2.259179818696E-008</v>
      </c>
      <c r="AU221" s="3" t="n">
        <v>0.086423503228399</v>
      </c>
      <c r="AV221" s="0" t="n">
        <v>0.0579044234015646</v>
      </c>
      <c r="AW221" s="0" t="n">
        <v>0</v>
      </c>
      <c r="AZ221" s="0" t="n">
        <v>0.494807994963655</v>
      </c>
      <c r="BA221" s="0" t="n">
        <v>0.473207994963655</v>
      </c>
      <c r="BC221" s="0" t="n">
        <v>0.267676695400276</v>
      </c>
      <c r="BD221" s="0" t="n">
        <v>0.246076695400276</v>
      </c>
      <c r="BE221" s="0" t="n">
        <v>0.143385905461031</v>
      </c>
      <c r="BF221" s="3" t="n">
        <v>0.100185905461031</v>
      </c>
      <c r="BG221" s="0" t="n">
        <v>0.0570547765260981</v>
      </c>
      <c r="BH221" s="0" t="n">
        <f aca="false">M221/BG221</f>
        <v>0.827232744066531</v>
      </c>
      <c r="BI221" s="0" t="n">
        <v>2.790768885171E-008</v>
      </c>
      <c r="BJ221" s="0" t="n">
        <v>0.528896578859676</v>
      </c>
      <c r="BK221" s="0" t="n">
        <v>0</v>
      </c>
      <c r="BL221" s="0" t="n">
        <v>0</v>
      </c>
      <c r="BM221" s="0" t="n">
        <v>0</v>
      </c>
      <c r="BN221" s="0" t="e">
        <f aca="false">#REF!/#REF!</f>
        <v>#REF!</v>
      </c>
      <c r="BO221" s="0" t="n">
        <v>0</v>
      </c>
    </row>
    <row r="222" customFormat="false" ht="12.8" hidden="false" customHeight="false" outlineLevel="0" collapsed="false">
      <c r="A222" s="16" t="s">
        <v>274</v>
      </c>
      <c r="B222" s="0" t="s">
        <v>111</v>
      </c>
      <c r="C222" s="0" t="s">
        <v>51</v>
      </c>
      <c r="D222" s="0" t="s">
        <v>187</v>
      </c>
      <c r="E222" s="0" t="n">
        <v>0.2648</v>
      </c>
      <c r="F222" s="0" t="n">
        <v>3.18125</v>
      </c>
      <c r="G222" s="0" t="n">
        <v>358</v>
      </c>
      <c r="H222" s="0" t="n">
        <v>324</v>
      </c>
      <c r="I222" s="0" t="s">
        <v>55</v>
      </c>
      <c r="J222" s="0" t="n">
        <v>0.0662895441</v>
      </c>
      <c r="K222" s="0" t="n">
        <v>0.121843</v>
      </c>
      <c r="L222" s="0" t="n">
        <v>0.0180273305602498</v>
      </c>
      <c r="M222" s="1" t="n">
        <v>0.0312398135724727</v>
      </c>
      <c r="N222" s="0" t="n">
        <v>0.21031493629121</v>
      </c>
      <c r="O222" s="0" t="n">
        <v>0.252253129416862</v>
      </c>
      <c r="P222" s="0" t="n">
        <v>0.180684973742701</v>
      </c>
      <c r="Q222" s="0" t="n">
        <v>0.228067716969724</v>
      </c>
      <c r="R222" s="11" t="n">
        <v>0.131882275425</v>
      </c>
      <c r="S222" s="0" t="n">
        <v>0.11385494486475</v>
      </c>
      <c r="T222" s="0" t="n">
        <v>0.0001301099729485</v>
      </c>
      <c r="U222" s="0" t="n">
        <v>0.0001777987229485</v>
      </c>
      <c r="V222" s="0" t="n">
        <v>0.00020088604785</v>
      </c>
      <c r="Z222" s="1"/>
      <c r="AA222" s="1"/>
      <c r="AB222" s="11"/>
      <c r="AJ222" s="0" t="n">
        <v>4.18065762942976</v>
      </c>
      <c r="AK222" s="0" t="n">
        <v>0.000313397309384</v>
      </c>
      <c r="AL222" s="0" t="n">
        <f aca="false">AK222-0.00004768875</f>
        <v>0.000265708559384</v>
      </c>
      <c r="AM222" s="0" t="n">
        <v>0.715897402983957</v>
      </c>
      <c r="AN222" s="0" t="n">
        <v>7.59035065257192E-017</v>
      </c>
      <c r="AO222" s="0" t="n">
        <v>0.000127213013565</v>
      </c>
      <c r="AP222" s="0" t="n">
        <v>4.59518965739167</v>
      </c>
      <c r="AQ222" s="0" t="n">
        <v>0.00024857479785</v>
      </c>
      <c r="AR222" s="0" t="n">
        <v>0.00020088604785</v>
      </c>
      <c r="AS222" s="0" t="n">
        <v>0.628682431350004</v>
      </c>
      <c r="AT222" s="0" t="n">
        <v>6.3712184683539E-007</v>
      </c>
      <c r="AU222" s="3" t="n">
        <v>0.101198625451038</v>
      </c>
      <c r="AV222" s="0" t="n">
        <v>0.0123672679685732</v>
      </c>
      <c r="AW222" s="0" t="n">
        <v>0.190643733691705</v>
      </c>
      <c r="AZ222" s="0" t="n">
        <v>0.244256379891556</v>
      </c>
      <c r="BA222" s="0" t="n">
        <v>0.221756379891556</v>
      </c>
      <c r="BC222" s="0" t="n">
        <v>0.203184973742701</v>
      </c>
      <c r="BD222" s="0" t="n">
        <v>0.180684973742701</v>
      </c>
      <c r="BE222" s="0" t="n">
        <v>0.158482614596128</v>
      </c>
      <c r="BF222" s="3" t="n">
        <v>0.113482614596128</v>
      </c>
      <c r="BG222" s="0" t="n">
        <v>0.0525546197513084</v>
      </c>
      <c r="BH222" s="0" t="n">
        <f aca="false">M222/BG222</f>
        <v>0.594425641747602</v>
      </c>
      <c r="BI222" s="0" t="n">
        <v>6.41660507418603E-017</v>
      </c>
      <c r="BJ222" s="0" t="n">
        <v>0.816684242977441</v>
      </c>
      <c r="BK222" s="0" t="n">
        <v>0.17877246226842</v>
      </c>
      <c r="BL222" s="0" t="n">
        <v>0.213143733691705</v>
      </c>
      <c r="BM222" s="0" t="n">
        <v>0.190643733691705</v>
      </c>
      <c r="BN222" s="0" t="e">
        <f aca="false">#REF!/#REF!</f>
        <v>#REF!</v>
      </c>
      <c r="BO222" s="0" t="e">
        <f aca="false">BN222-0.0225</f>
        <v>#REF!</v>
      </c>
    </row>
    <row r="223" customFormat="false" ht="12.8" hidden="false" customHeight="false" outlineLevel="0" collapsed="false">
      <c r="A223" s="16" t="s">
        <v>275</v>
      </c>
      <c r="B223" s="0" t="s">
        <v>111</v>
      </c>
      <c r="C223" s="21" t="s">
        <v>59</v>
      </c>
      <c r="D223" s="0" t="s">
        <v>187</v>
      </c>
      <c r="E223" s="0" t="n">
        <v>0.206075</v>
      </c>
      <c r="F223" s="0" t="n">
        <v>2.7175</v>
      </c>
      <c r="G223" s="0" t="n">
        <v>305</v>
      </c>
      <c r="H223" s="0" t="n">
        <v>268</v>
      </c>
      <c r="I223" s="0" t="s">
        <v>55</v>
      </c>
      <c r="J223" s="0" t="n">
        <v>0</v>
      </c>
      <c r="K223" s="0" t="n">
        <v>0.108333</v>
      </c>
      <c r="L223" s="0" t="n">
        <v>0.0134760920240111</v>
      </c>
      <c r="M223" s="1" t="n">
        <v>0.0520790197317607</v>
      </c>
      <c r="N223" s="0" t="n">
        <v>0.191641284472504</v>
      </c>
      <c r="O223" s="0" t="n">
        <v>0.367698184797531</v>
      </c>
      <c r="P223" s="0" t="n">
        <v>0.334104374393338</v>
      </c>
      <c r="Q223" s="0" t="n">
        <v>0.248318497751127</v>
      </c>
      <c r="R223" s="11" t="n">
        <v>0.161444280392</v>
      </c>
      <c r="S223" s="0" t="n">
        <v>0.147968188367989</v>
      </c>
      <c r="T223" s="0" t="n">
        <v>0.0002687412528205</v>
      </c>
      <c r="U223" s="0" t="n">
        <v>0.0003109332067405</v>
      </c>
      <c r="V223" s="0" t="n">
        <v>0.000375192375659</v>
      </c>
      <c r="Z223" s="1"/>
      <c r="AA223" s="1"/>
      <c r="AB223" s="11"/>
      <c r="AJ223" s="0" t="n">
        <v>0.839948523990499</v>
      </c>
      <c r="AK223" s="0" t="n">
        <v>0.000488274184719</v>
      </c>
      <c r="AL223" s="0" t="n">
        <f aca="false">AK223-0.00004219195392</f>
        <v>0.000446082230799</v>
      </c>
      <c r="AM223" s="0" t="n">
        <v>0.442343415967946</v>
      </c>
      <c r="AN223" s="0" t="n">
        <v>2.1735003203E-010</v>
      </c>
      <c r="AO223" s="0" t="n">
        <v>0.00025699801692</v>
      </c>
      <c r="AP223" s="0" t="n">
        <v>1.0785376409238</v>
      </c>
      <c r="AQ223" s="0" t="n">
        <v>0.000417384329579</v>
      </c>
      <c r="AR223" s="0" t="n">
        <v>0.000375192375659</v>
      </c>
      <c r="AS223" s="0" t="n">
        <v>0.281764833606791</v>
      </c>
      <c r="AT223" s="0" t="n">
        <v>0.000109808537285223</v>
      </c>
      <c r="AU223" s="3" t="n">
        <v>0.109998480693984</v>
      </c>
      <c r="AV223" s="0" t="n">
        <v>0.0100323257720061</v>
      </c>
      <c r="AW223" s="0" t="n">
        <v>0</v>
      </c>
      <c r="AZ223" s="0" t="n">
        <v>0.224879102260494</v>
      </c>
      <c r="BA223" s="0" t="n">
        <v>0.203279102260494</v>
      </c>
      <c r="BC223" s="0" t="n">
        <v>0.355704374393338</v>
      </c>
      <c r="BD223" s="0" t="n">
        <v>0.334104374393338</v>
      </c>
      <c r="BE223" s="0" t="n">
        <v>0.12940859045387</v>
      </c>
      <c r="BF223" s="3" t="n">
        <v>0.08620859045387</v>
      </c>
      <c r="BG223" s="0" t="n">
        <v>0.0670258889439756</v>
      </c>
      <c r="BH223" s="0" t="n">
        <f aca="false">M223/BG223</f>
        <v>0.776998568050199</v>
      </c>
      <c r="BI223" s="0" t="n">
        <v>1.67867494383E-009</v>
      </c>
      <c r="BJ223" s="0" t="n">
        <v>0.396639850855459</v>
      </c>
      <c r="BK223" s="0" t="n">
        <v>0</v>
      </c>
      <c r="BL223" s="0" t="n">
        <v>0</v>
      </c>
      <c r="BM223" s="0" t="n">
        <v>0</v>
      </c>
      <c r="BN223" s="0" t="e">
        <f aca="false">#REF!/#REF!</f>
        <v>#REF!</v>
      </c>
      <c r="BO223" s="0" t="n">
        <v>0</v>
      </c>
    </row>
    <row r="224" customFormat="false" ht="12.8" hidden="false" customHeight="false" outlineLevel="0" collapsed="false">
      <c r="A224" s="16" t="s">
        <v>276</v>
      </c>
      <c r="B224" s="0" t="s">
        <v>111</v>
      </c>
      <c r="C224" s="21" t="s">
        <v>59</v>
      </c>
      <c r="D224" s="0" t="s">
        <v>187</v>
      </c>
      <c r="E224" s="0" t="n">
        <v>0.1016925</v>
      </c>
      <c r="F224" s="0" t="n">
        <v>1.5895</v>
      </c>
      <c r="G224" s="0" t="n">
        <v>144</v>
      </c>
      <c r="H224" s="0" t="n">
        <v>110</v>
      </c>
      <c r="I224" s="0" t="s">
        <v>53</v>
      </c>
      <c r="J224" s="0" t="n">
        <v>0</v>
      </c>
      <c r="K224" s="0" t="n">
        <v>0.037211</v>
      </c>
      <c r="L224" s="0" t="n">
        <v>0.0064047279264526</v>
      </c>
      <c r="M224" s="1" t="n">
        <v>0.050949893537181</v>
      </c>
      <c r="N224" s="0" t="n">
        <v>0.212549857578609</v>
      </c>
      <c r="O224" s="0" t="n">
        <v>0.322792354966736</v>
      </c>
      <c r="P224" s="0" t="n">
        <v>0.21809821576804</v>
      </c>
      <c r="Q224" s="0" t="n">
        <v>0.207822559277059</v>
      </c>
      <c r="R224" s="11" t="n">
        <v>0.056823366628</v>
      </c>
      <c r="S224" s="0" t="n">
        <v>0.0504186387015474</v>
      </c>
      <c r="T224" s="0" t="n">
        <v>0.000173032872937</v>
      </c>
      <c r="U224" s="0" t="n">
        <v>0.000215224826857</v>
      </c>
      <c r="V224" s="0" t="n">
        <v>0.0002926258173005</v>
      </c>
      <c r="Z224" s="1"/>
      <c r="AA224" s="1"/>
      <c r="AB224" s="11"/>
      <c r="AJ224" s="0" t="n">
        <v>0.57394550184256</v>
      </c>
      <c r="AK224" s="0" t="n">
        <v>0.000323937976821</v>
      </c>
      <c r="AL224" s="0" t="n">
        <f aca="false">AK224-0.00004219195392</f>
        <v>0.000281746022901</v>
      </c>
      <c r="AM224" s="0" t="n">
        <v>-0.109468532875963</v>
      </c>
      <c r="AN224" s="0" t="n">
        <v>0.00104201324362474</v>
      </c>
      <c r="AO224" s="0" t="n">
        <v>0.000173032872937</v>
      </c>
      <c r="AP224" s="0" t="n">
        <v>0.57394550184256</v>
      </c>
      <c r="AQ224" s="0" t="n">
        <v>0.0003348177712205</v>
      </c>
      <c r="AR224" s="0" t="n">
        <v>0.0002926258173005</v>
      </c>
      <c r="AS224" s="0" t="n">
        <v>-0.37268262750521</v>
      </c>
      <c r="AT224" s="0" t="n">
        <v>0.000354228964205991</v>
      </c>
      <c r="AU224" s="3" t="n">
        <v>0.060151488078426</v>
      </c>
      <c r="AV224" s="0" t="n">
        <v>0.136020430028433</v>
      </c>
      <c r="AW224" s="0" t="n">
        <v>0</v>
      </c>
      <c r="AZ224" s="0" t="n">
        <v>0.247713273392853</v>
      </c>
      <c r="BA224" s="0" t="n">
        <v>0.226113273392853</v>
      </c>
      <c r="BC224" s="0" t="n">
        <v>0.23969821576804</v>
      </c>
      <c r="BD224" s="0" t="n">
        <v>0.21809821576804</v>
      </c>
      <c r="BE224" s="0" t="n">
        <v>0.0877287834345349</v>
      </c>
      <c r="BF224" s="3" t="n">
        <v>0.0445287834345349</v>
      </c>
      <c r="BG224" s="0" t="n">
        <v>0.0636733216270421</v>
      </c>
      <c r="BH224" s="0" t="n">
        <f aca="false">M224/BG224</f>
        <v>0.800176466929323</v>
      </c>
      <c r="BI224" s="0" t="n">
        <v>0.00182299221471005</v>
      </c>
      <c r="BJ224" s="0" t="n">
        <v>0.434006184521097</v>
      </c>
      <c r="BK224" s="0" t="n">
        <v>0</v>
      </c>
      <c r="BL224" s="0" t="n">
        <v>0</v>
      </c>
      <c r="BM224" s="0" t="n">
        <v>0</v>
      </c>
      <c r="BN224" s="0" t="e">
        <f aca="false">#REF!/#REF!</f>
        <v>#REF!</v>
      </c>
      <c r="BO224" s="0" t="n">
        <v>0</v>
      </c>
    </row>
    <row r="225" customFormat="false" ht="12.8" hidden="false" customHeight="false" outlineLevel="0" collapsed="false">
      <c r="A225" s="16" t="s">
        <v>277</v>
      </c>
      <c r="B225" s="0" t="s">
        <v>111</v>
      </c>
      <c r="C225" s="0" t="s">
        <v>51</v>
      </c>
      <c r="D225" s="0" t="s">
        <v>187</v>
      </c>
      <c r="E225" s="0" t="n">
        <v>0.18355</v>
      </c>
      <c r="F225" s="0" t="n">
        <v>2.278</v>
      </c>
      <c r="G225" s="0" t="n">
        <v>215</v>
      </c>
      <c r="H225" s="0" t="n">
        <v>185</v>
      </c>
      <c r="I225" s="0" t="s">
        <v>55</v>
      </c>
      <c r="J225" s="0" t="n">
        <v>0.0377991162</v>
      </c>
      <c r="K225" s="0" t="n">
        <v>0.0756</v>
      </c>
      <c r="L225" s="0" t="n">
        <v>0.0108242299098745</v>
      </c>
      <c r="M225" s="1" t="n">
        <v>0.045182660454765</v>
      </c>
      <c r="N225" s="0" t="n">
        <v>0.214985453847356</v>
      </c>
      <c r="O225" s="0" t="n">
        <v>0.309444365707353</v>
      </c>
      <c r="P225" s="0" t="n">
        <v>0.173525313263079</v>
      </c>
      <c r="Q225" s="0" t="n">
        <v>0.21535073395213</v>
      </c>
      <c r="R225" s="11" t="n">
        <v>0.111471640775</v>
      </c>
      <c r="S225" s="0" t="n">
        <v>0.100647410865125</v>
      </c>
      <c r="T225" s="0" t="n">
        <v>0.000151696453211</v>
      </c>
      <c r="U225" s="0" t="n">
        <v>0.000199385203211</v>
      </c>
      <c r="V225" s="0" t="n">
        <v>0.000297958391161</v>
      </c>
      <c r="Z225" s="1"/>
      <c r="AA225" s="1"/>
      <c r="AB225" s="11"/>
      <c r="AJ225" s="0" t="n">
        <v>0.588694687756941</v>
      </c>
      <c r="AK225" s="0" t="n">
        <v>0.000349578601713</v>
      </c>
      <c r="AL225" s="0" t="n">
        <f aca="false">AK225-0.00004768875</f>
        <v>0.000301889851713</v>
      </c>
      <c r="AM225" s="0" t="n">
        <v>0.477362254789184</v>
      </c>
      <c r="AN225" s="0" t="n">
        <v>8.0189154611E-010</v>
      </c>
      <c r="AO225" s="0" t="n">
        <v>0.000150890197778</v>
      </c>
      <c r="AP225" s="0" t="n">
        <v>0.627058014639952</v>
      </c>
      <c r="AQ225" s="0" t="n">
        <v>0.000345647141161</v>
      </c>
      <c r="AR225" s="0" t="n">
        <v>0.000297958391161</v>
      </c>
      <c r="AS225" s="0" t="n">
        <v>0.457618292029151</v>
      </c>
      <c r="AT225" s="0" t="n">
        <v>5.8615779815E-009</v>
      </c>
      <c r="AU225" s="3" t="n">
        <v>0.077180474458324</v>
      </c>
      <c r="AV225" s="0" t="n">
        <v>0.146208264614784</v>
      </c>
      <c r="AW225" s="0" t="n">
        <v>0.150706215891398</v>
      </c>
      <c r="AZ225" s="0" t="n">
        <v>0.403198748973764</v>
      </c>
      <c r="BA225" s="0" t="n">
        <v>0.380698748973764</v>
      </c>
      <c r="BC225" s="0" t="n">
        <v>0.196025313263079</v>
      </c>
      <c r="BD225" s="0" t="n">
        <v>0.173525313263079</v>
      </c>
      <c r="BE225" s="0" t="n">
        <v>0.120313622459854</v>
      </c>
      <c r="BF225" s="3" t="n">
        <v>0.075313622459854</v>
      </c>
      <c r="BG225" s="0" t="n">
        <v>0.0633469755753118</v>
      </c>
      <c r="BH225" s="0" t="n">
        <f aca="false">M225/BG225</f>
        <v>0.713256789995417</v>
      </c>
      <c r="BI225" s="0" t="n">
        <v>9.04959991813684E-006</v>
      </c>
      <c r="BJ225" s="0" t="n">
        <v>0.569366138039565</v>
      </c>
      <c r="BK225" s="0" t="n">
        <v>0.109787764758141</v>
      </c>
      <c r="BL225" s="0" t="n">
        <v>0.173206215891398</v>
      </c>
      <c r="BM225" s="0" t="n">
        <v>0.150706215891398</v>
      </c>
      <c r="BN225" s="0" t="e">
        <f aca="false">#REF!/#REF!</f>
        <v>#REF!</v>
      </c>
      <c r="BO225" s="0" t="e">
        <f aca="false">BN225-0.0225</f>
        <v>#REF!</v>
      </c>
    </row>
    <row r="226" customFormat="false" ht="12.8" hidden="false" customHeight="false" outlineLevel="0" collapsed="false">
      <c r="A226" s="16" t="s">
        <v>278</v>
      </c>
      <c r="B226" s="0" t="s">
        <v>111</v>
      </c>
      <c r="C226" s="0" t="s">
        <v>59</v>
      </c>
      <c r="D226" s="0" t="s">
        <v>187</v>
      </c>
      <c r="E226" s="0" t="n">
        <v>0.203975</v>
      </c>
      <c r="F226" s="0" t="n">
        <v>2.5395</v>
      </c>
      <c r="G226" s="0" t="n">
        <v>197</v>
      </c>
      <c r="H226" s="0" t="n">
        <v>161</v>
      </c>
      <c r="I226" s="0" t="s">
        <v>53</v>
      </c>
      <c r="J226" s="0" t="n">
        <v>0</v>
      </c>
      <c r="K226" s="0" t="n">
        <v>0.215202</v>
      </c>
      <c r="L226" s="0" t="n">
        <v>0.00871736133098297</v>
      </c>
      <c r="M226" s="1" t="n">
        <v>0.060163094074949</v>
      </c>
      <c r="N226" s="0" t="n">
        <v>0.27439787437117</v>
      </c>
      <c r="O226" s="0" t="n">
        <v>0.308599505919754</v>
      </c>
      <c r="P226" s="0" t="n">
        <v>0.234733151040396</v>
      </c>
      <c r="Q226" s="0" t="n">
        <v>0.251346924370924</v>
      </c>
      <c r="R226" s="11" t="n">
        <v>0.115362178588</v>
      </c>
      <c r="S226" s="0" t="n">
        <v>0.106644817257017</v>
      </c>
      <c r="T226" s="0" t="n">
        <v>0.000300497380189</v>
      </c>
      <c r="U226" s="0" t="n">
        <v>0.000342689334109</v>
      </c>
      <c r="V226" s="0" t="n">
        <v>0.000376124283597</v>
      </c>
      <c r="Z226" s="1"/>
      <c r="AA226" s="1"/>
      <c r="AB226" s="11"/>
      <c r="AJ226" s="0" t="n">
        <v>-0.397555025431074</v>
      </c>
      <c r="AK226" s="0" t="n">
        <v>0.000412569694439</v>
      </c>
      <c r="AL226" s="0" t="n">
        <f aca="false">AK226-0.00004219195392</f>
        <v>0.000370377740519</v>
      </c>
      <c r="AM226" s="0" t="n">
        <v>0.690170941486788</v>
      </c>
      <c r="AN226" s="0" t="n">
        <v>0.0158528903349142</v>
      </c>
      <c r="AO226" s="0" t="n">
        <v>0.000300497380189</v>
      </c>
      <c r="AP226" s="0" t="n">
        <v>-0.397555025431074</v>
      </c>
      <c r="AQ226" s="0" t="n">
        <v>0.000418316237517</v>
      </c>
      <c r="AR226" s="0" t="n">
        <v>0.000376124283597</v>
      </c>
      <c r="AS226" s="0" t="n">
        <v>0.719994649137528</v>
      </c>
      <c r="AT226" s="0" t="n">
        <v>0.0721767097847797</v>
      </c>
      <c r="AU226" s="3" t="n">
        <v>0.068934261023304</v>
      </c>
      <c r="AV226" s="0" t="n">
        <v>0.203367375334341</v>
      </c>
      <c r="AW226" s="0" t="n">
        <v>0</v>
      </c>
      <c r="AZ226" s="0" t="n">
        <v>0.357523907369205</v>
      </c>
      <c r="BA226" s="0" t="n">
        <v>0.335923907369205</v>
      </c>
      <c r="BC226" s="0" t="n">
        <v>0.256333151040396</v>
      </c>
      <c r="BD226" s="0" t="n">
        <v>0.234733151040396</v>
      </c>
      <c r="BE226" s="0" t="n">
        <v>0.12238932901625</v>
      </c>
      <c r="BF226" s="3" t="n">
        <v>0.07918932901625</v>
      </c>
      <c r="BG226" s="0" t="n">
        <v>0.0695620281211499</v>
      </c>
      <c r="BH226" s="0" t="n">
        <f aca="false">M226/BG226</f>
        <v>0.864884128596256</v>
      </c>
      <c r="BI226" s="0" t="n">
        <v>0.0153979120466375</v>
      </c>
      <c r="BJ226" s="0" t="n">
        <v>0.56920225975548</v>
      </c>
      <c r="BK226" s="0" t="n">
        <v>0</v>
      </c>
      <c r="BL226" s="0" t="n">
        <v>0</v>
      </c>
      <c r="BM226" s="0" t="n">
        <v>0</v>
      </c>
      <c r="BN226" s="0" t="e">
        <f aca="false">#REF!/#REF!</f>
        <v>#REF!</v>
      </c>
      <c r="BO226" s="0" t="n">
        <v>0</v>
      </c>
    </row>
    <row r="227" customFormat="false" ht="12.8" hidden="false" customHeight="false" outlineLevel="0" collapsed="false">
      <c r="A227" s="16" t="s">
        <v>279</v>
      </c>
      <c r="B227" s="0" t="s">
        <v>111</v>
      </c>
      <c r="C227" s="21" t="s">
        <v>59</v>
      </c>
      <c r="D227" s="0" t="s">
        <v>187</v>
      </c>
      <c r="E227" s="0" t="n">
        <v>0.175175</v>
      </c>
      <c r="F227" s="0" t="n">
        <v>2.016</v>
      </c>
      <c r="G227" s="0" t="n">
        <v>328</v>
      </c>
      <c r="H227" s="0" t="n">
        <v>285</v>
      </c>
      <c r="I227" s="0" t="s">
        <v>55</v>
      </c>
      <c r="J227" s="0" t="n">
        <v>0</v>
      </c>
      <c r="K227" s="0" t="n">
        <v>0.1571013</v>
      </c>
      <c r="L227" s="0" t="n">
        <v>0.0143214638873743</v>
      </c>
      <c r="M227" s="1" t="n">
        <v>0.0328601387616947</v>
      </c>
      <c r="N227" s="0" t="n">
        <v>0.174317269334572</v>
      </c>
      <c r="O227" s="0" t="n">
        <v>0.227668582833446</v>
      </c>
      <c r="P227" s="0" t="n">
        <v>0.191214415421205</v>
      </c>
      <c r="Q227" s="0" t="n">
        <v>0.214947419106107</v>
      </c>
      <c r="R227" s="11" t="n">
        <v>0.091926712568</v>
      </c>
      <c r="S227" s="0" t="n">
        <v>0.0776052486806257</v>
      </c>
      <c r="T227" s="0" t="n">
        <v>0.000145445067388</v>
      </c>
      <c r="U227" s="0" t="n">
        <v>0.000187637021308</v>
      </c>
      <c r="V227" s="0" t="n">
        <v>0.000171237448754</v>
      </c>
      <c r="Z227" s="1"/>
      <c r="AA227" s="1"/>
      <c r="AB227" s="11"/>
      <c r="AJ227" s="0" t="n">
        <v>1.64958077628324</v>
      </c>
      <c r="AK227" s="0" t="n">
        <v>0.000219849578002</v>
      </c>
      <c r="AL227" s="0" t="n">
        <f aca="false">AK227-0.00004219195392</f>
        <v>0.000177657624082</v>
      </c>
      <c r="AM227" s="0" t="n">
        <v>0.640564140904146</v>
      </c>
      <c r="AN227" s="0" t="n">
        <v>0.00368038943784087</v>
      </c>
      <c r="AO227" s="0" t="n">
        <v>0.000144870763888</v>
      </c>
      <c r="AP227" s="0" t="n">
        <v>1.70562306755752</v>
      </c>
      <c r="AQ227" s="0" t="n">
        <v>0.000213429402674</v>
      </c>
      <c r="AR227" s="0" t="n">
        <v>0.000171237448754</v>
      </c>
      <c r="AS227" s="0" t="n">
        <v>0.625945593619569</v>
      </c>
      <c r="AT227" s="0" t="n">
        <v>0.0839028659036655</v>
      </c>
      <c r="AU227" s="3" t="n">
        <v>0.062303325638653</v>
      </c>
      <c r="AV227" s="0" t="n">
        <v>0.398441934362745</v>
      </c>
      <c r="AW227" s="0" t="n">
        <v>0</v>
      </c>
      <c r="AZ227" s="0" t="n">
        <v>0.166517206114888</v>
      </c>
      <c r="BA227" s="0" t="n">
        <v>0.144917206114888</v>
      </c>
      <c r="BC227" s="0" t="n">
        <v>0.212814415421205</v>
      </c>
      <c r="BD227" s="0" t="n">
        <v>0.191214415421205</v>
      </c>
      <c r="BE227" s="0" t="n">
        <v>0.108721226773622</v>
      </c>
      <c r="BF227" s="3" t="n">
        <v>0.065521226773622</v>
      </c>
      <c r="BG227" s="0" t="n">
        <v>0.0402177847990183</v>
      </c>
      <c r="BH227" s="0" t="n">
        <f aca="false">M227/BG227</f>
        <v>0.817054915528237</v>
      </c>
      <c r="BI227" s="0" t="n">
        <v>1.71233200807769E-005</v>
      </c>
      <c r="BJ227" s="0" t="n">
        <v>0.563299772295107</v>
      </c>
      <c r="BK227" s="0" t="n">
        <v>0</v>
      </c>
      <c r="BL227" s="0" t="n">
        <v>0</v>
      </c>
      <c r="BM227" s="0" t="n">
        <v>0</v>
      </c>
      <c r="BN227" s="0" t="e">
        <f aca="false">#REF!/#REF!</f>
        <v>#REF!</v>
      </c>
      <c r="BO227" s="0" t="n">
        <v>0</v>
      </c>
    </row>
    <row r="228" customFormat="false" ht="12.8" hidden="false" customHeight="false" outlineLevel="0" collapsed="false">
      <c r="A228" s="16" t="s">
        <v>280</v>
      </c>
      <c r="B228" s="0" t="s">
        <v>111</v>
      </c>
      <c r="C228" s="0" t="s">
        <v>51</v>
      </c>
      <c r="D228" s="0" t="s">
        <v>187</v>
      </c>
      <c r="E228" s="0" t="n">
        <v>0.473825</v>
      </c>
      <c r="F228" s="0" t="n">
        <v>4.07725</v>
      </c>
      <c r="G228" s="0" t="n">
        <v>755</v>
      </c>
      <c r="H228" s="0" t="n">
        <v>687</v>
      </c>
      <c r="I228" s="0" t="s">
        <v>55</v>
      </c>
      <c r="J228" s="0" t="n">
        <v>0.0588348173</v>
      </c>
      <c r="K228" s="0" t="n">
        <v>0.289304</v>
      </c>
      <c r="L228" s="0" t="n">
        <v>0.0378614606246451</v>
      </c>
      <c r="M228" s="1" t="n">
        <v>0.0444032528234093</v>
      </c>
      <c r="N228" s="0" t="n">
        <v>0.239567701218296</v>
      </c>
      <c r="O228" s="0" t="n">
        <v>0.37851475714305</v>
      </c>
      <c r="P228" s="0" t="n">
        <v>0.316685547479641</v>
      </c>
      <c r="Q228" s="0" t="n">
        <v>0.258718648197046</v>
      </c>
      <c r="R228" s="11" t="n">
        <v>0.344390216325</v>
      </c>
      <c r="S228" s="0" t="n">
        <v>0.306528755700355</v>
      </c>
      <c r="T228" s="0" t="n">
        <v>0.000221537982331</v>
      </c>
      <c r="U228" s="0" t="n">
        <v>0.000269226732331</v>
      </c>
      <c r="V228" s="0" t="n">
        <v>0</v>
      </c>
      <c r="Z228" s="1"/>
      <c r="AA228" s="1"/>
      <c r="AB228" s="11"/>
      <c r="AJ228" s="0" t="n">
        <v>1.99522776136409</v>
      </c>
      <c r="AK228" s="0" t="n">
        <v>0.000357053106907</v>
      </c>
      <c r="AL228" s="0" t="n">
        <f aca="false">AK228-0.00004768875</f>
        <v>0.000309364356907</v>
      </c>
      <c r="AM228" s="0" t="n">
        <v>0.474804464296348</v>
      </c>
      <c r="AN228" s="0" t="n">
        <v>5.7306461834E-010</v>
      </c>
      <c r="AO228" s="0" t="n">
        <v>0.000218574850227</v>
      </c>
      <c r="AP228" s="0" t="n">
        <v>2.00874138872716</v>
      </c>
      <c r="AQ228" s="0" t="n">
        <v>0</v>
      </c>
      <c r="AR228" s="0" t="n">
        <v>-4.768875E-005</v>
      </c>
      <c r="AS228" s="0" t="n">
        <v>100</v>
      </c>
      <c r="AT228" s="0" t="n">
        <v>0</v>
      </c>
      <c r="AU228" s="3" t="n">
        <v>0.098818165652658</v>
      </c>
      <c r="AV228" s="0" t="n">
        <v>0.125099381334945</v>
      </c>
      <c r="AW228" s="0" t="n">
        <v>0.122777745241608</v>
      </c>
      <c r="AZ228" s="0" t="n">
        <v>0.363200346595285</v>
      </c>
      <c r="BA228" s="0" t="n">
        <v>0.340700346595285</v>
      </c>
      <c r="BC228" s="0" t="n">
        <v>0.339185547479641</v>
      </c>
      <c r="BD228" s="0" t="n">
        <v>0.316685547479641</v>
      </c>
      <c r="BE228" s="0" t="n">
        <v>0.143296646247314</v>
      </c>
      <c r="BF228" s="3" t="n">
        <v>0.098296646247314</v>
      </c>
      <c r="BG228" s="0" t="n">
        <v>0.0561521271567067</v>
      </c>
      <c r="BH228" s="0" t="n">
        <f aca="false">M228/BG228</f>
        <v>0.79076706568018</v>
      </c>
      <c r="BI228" s="0" t="n">
        <v>3.7860876399E-010</v>
      </c>
      <c r="BJ228" s="0" t="n">
        <v>0.438426809511325</v>
      </c>
      <c r="BK228" s="0" t="n">
        <v>0.105810156560569</v>
      </c>
      <c r="BL228" s="0" t="n">
        <v>0.145277745241608</v>
      </c>
      <c r="BM228" s="0" t="n">
        <v>0.122777745241608</v>
      </c>
      <c r="BN228" s="0" t="e">
        <f aca="false">#REF!/#REF!</f>
        <v>#REF!</v>
      </c>
      <c r="BO228" s="0" t="e">
        <f aca="false">BN228-0.0225</f>
        <v>#REF!</v>
      </c>
    </row>
    <row r="229" customFormat="false" ht="12.8" hidden="false" customHeight="false" outlineLevel="0" collapsed="false">
      <c r="A229" s="16" t="s">
        <v>281</v>
      </c>
      <c r="B229" s="0" t="s">
        <v>111</v>
      </c>
      <c r="C229" s="0" t="s">
        <v>51</v>
      </c>
      <c r="D229" s="0" t="s">
        <v>187</v>
      </c>
      <c r="E229" s="0" t="n">
        <v>0.266675</v>
      </c>
      <c r="F229" s="0" t="n">
        <v>2.97475</v>
      </c>
      <c r="G229" s="0" t="n">
        <v>348</v>
      </c>
      <c r="H229" s="0" t="n">
        <v>304</v>
      </c>
      <c r="I229" s="0" t="s">
        <v>53</v>
      </c>
      <c r="J229" s="0" t="n">
        <v>0.0543121211</v>
      </c>
      <c r="K229" s="0" t="n">
        <v>0.227587</v>
      </c>
      <c r="L229" s="0" t="n">
        <v>0.0175187583796133</v>
      </c>
      <c r="M229" s="1" t="n">
        <v>0.0365065588109122</v>
      </c>
      <c r="N229" s="0" t="n">
        <v>0.144069545995094</v>
      </c>
      <c r="O229" s="0" t="n">
        <v>0.345302002881809</v>
      </c>
      <c r="P229" s="0" t="n">
        <v>0.239595518922176</v>
      </c>
      <c r="Q229" s="0" t="n">
        <v>0.200753931562884</v>
      </c>
      <c r="R229" s="11" t="n">
        <v>0.148232400925</v>
      </c>
      <c r="S229" s="0" t="n">
        <v>0.130713642545387</v>
      </c>
      <c r="T229" s="0" t="n">
        <v>0.000154823447173</v>
      </c>
      <c r="U229" s="0" t="n">
        <v>0.000202512197173</v>
      </c>
      <c r="V229" s="0" t="n">
        <v>0</v>
      </c>
      <c r="Z229" s="1"/>
      <c r="AA229" s="1"/>
      <c r="AB229" s="11"/>
      <c r="AJ229" s="0" t="n">
        <v>1.71063447890897</v>
      </c>
      <c r="AK229" s="0" t="n">
        <v>0</v>
      </c>
      <c r="AL229" s="0" t="n">
        <f aca="false">AK229-0.00004768875</f>
        <v>-4.768875E-005</v>
      </c>
      <c r="AM229" s="0" t="n">
        <v>100</v>
      </c>
      <c r="AN229" s="0" t="n">
        <v>0</v>
      </c>
      <c r="AO229" s="0" t="n">
        <v>0.000154558740754</v>
      </c>
      <c r="AP229" s="0" t="n">
        <v>1.7797652661485</v>
      </c>
      <c r="AQ229" s="0" t="n">
        <v>0</v>
      </c>
      <c r="AR229" s="0" t="n">
        <v>-4.768875E-005</v>
      </c>
      <c r="AS229" s="0" t="n">
        <v>100</v>
      </c>
      <c r="AT229" s="0" t="n">
        <v>0</v>
      </c>
      <c r="AU229" s="3" t="n">
        <v>0.075132790310194</v>
      </c>
      <c r="AV229" s="0" t="n">
        <v>0.0647392826088632</v>
      </c>
      <c r="AW229" s="0" t="n">
        <v>0.157786725620559</v>
      </c>
      <c r="AZ229" s="0" t="n">
        <v>0.189294781249847</v>
      </c>
      <c r="BA229" s="0" t="n">
        <v>0.166794781249847</v>
      </c>
      <c r="BC229" s="0" t="n">
        <v>0.262095518922176</v>
      </c>
      <c r="BD229" s="0" t="n">
        <v>0.239595518922176</v>
      </c>
      <c r="BE229" s="0" t="n">
        <v>0.112808879431053</v>
      </c>
      <c r="BF229" s="3" t="n">
        <v>0.067808879431053</v>
      </c>
      <c r="BG229" s="0" t="n">
        <v>-0.045</v>
      </c>
      <c r="BH229" s="0" t="n">
        <f aca="false">M229/BG229</f>
        <v>-0.811256862464716</v>
      </c>
      <c r="BI229" s="0" t="n">
        <v>100</v>
      </c>
      <c r="BJ229" s="0" t="n">
        <v>0.423370804978342</v>
      </c>
      <c r="BK229" s="0" t="n">
        <v>0.128103986566942</v>
      </c>
      <c r="BL229" s="0" t="n">
        <v>0.180286725620559</v>
      </c>
      <c r="BM229" s="0" t="n">
        <v>0.157786725620559</v>
      </c>
      <c r="BN229" s="0" t="e">
        <f aca="false">#REF!/#REF!</f>
        <v>#REF!</v>
      </c>
      <c r="BO229" s="0" t="e">
        <f aca="false">BN229-0.0225</f>
        <v>#REF!</v>
      </c>
    </row>
    <row r="230" customFormat="false" ht="12.8" hidden="false" customHeight="false" outlineLevel="0" collapsed="false">
      <c r="A230" s="16" t="s">
        <v>282</v>
      </c>
      <c r="B230" s="0" t="s">
        <v>111</v>
      </c>
      <c r="C230" s="21" t="s">
        <v>59</v>
      </c>
      <c r="D230" s="0" t="s">
        <v>187</v>
      </c>
      <c r="E230" s="0" t="n">
        <v>0.274825</v>
      </c>
      <c r="F230" s="0" t="n">
        <v>3.38575</v>
      </c>
      <c r="G230" s="0" t="n">
        <v>398</v>
      </c>
      <c r="H230" s="0" t="n">
        <v>353</v>
      </c>
      <c r="I230" s="0" t="s">
        <v>53</v>
      </c>
      <c r="J230" s="0" t="n">
        <v>0</v>
      </c>
      <c r="K230" s="0" t="n">
        <v>0.218399</v>
      </c>
      <c r="L230" s="0" t="n">
        <v>0.0176606146139184</v>
      </c>
      <c r="M230" s="1" t="n">
        <v>0.0462075903402453</v>
      </c>
      <c r="N230" s="0" t="n">
        <v>0.204752496136043</v>
      </c>
      <c r="O230" s="0" t="n">
        <v>0.386111771149488</v>
      </c>
      <c r="P230" s="0" t="n">
        <v>0.292071337767538</v>
      </c>
      <c r="Q230" s="0" t="n">
        <v>0.197541771226257</v>
      </c>
      <c r="R230" s="11" t="n">
        <v>0.190226665592</v>
      </c>
      <c r="S230" s="0" t="n">
        <v>0.172566050978082</v>
      </c>
      <c r="T230" s="0" t="n">
        <v>0.000245777423167</v>
      </c>
      <c r="U230" s="0" t="n">
        <v>0.000287969377087</v>
      </c>
      <c r="V230" s="0" t="n">
        <v>0</v>
      </c>
      <c r="Z230" s="1"/>
      <c r="AA230" s="1"/>
      <c r="AB230" s="11"/>
      <c r="AJ230" s="0" t="n">
        <v>1.39487270439549</v>
      </c>
      <c r="AK230" s="0" t="n">
        <v>0.000488996524807</v>
      </c>
      <c r="AL230" s="0" t="n">
        <f aca="false">AK230-0.00004219195392</f>
        <v>0.000446804570887</v>
      </c>
      <c r="AM230" s="0" t="n">
        <v>0.650920702351822</v>
      </c>
      <c r="AN230" s="0" t="n">
        <v>8.699956E-014</v>
      </c>
      <c r="AO230" s="0" t="n">
        <v>0.000231106480303</v>
      </c>
      <c r="AP230" s="0" t="n">
        <v>1.77168141996918</v>
      </c>
      <c r="AQ230" s="0" t="n">
        <v>0</v>
      </c>
      <c r="AR230" s="0" t="n">
        <v>-4.219195392E-005</v>
      </c>
      <c r="AS230" s="0" t="n">
        <v>100</v>
      </c>
      <c r="AT230" s="0" t="n">
        <v>0</v>
      </c>
      <c r="AU230" s="3" t="n">
        <v>0.09497397554687</v>
      </c>
      <c r="AV230" s="0" t="n">
        <v>0.0061057873188287</v>
      </c>
      <c r="AW230" s="0" t="n">
        <v>0</v>
      </c>
      <c r="AZ230" s="0" t="n">
        <v>0.387111736576617</v>
      </c>
      <c r="BA230" s="0" t="n">
        <v>0.365511736576617</v>
      </c>
      <c r="BC230" s="0" t="n">
        <v>0.313671337767538</v>
      </c>
      <c r="BD230" s="0" t="n">
        <v>0.292071337767538</v>
      </c>
      <c r="BE230" s="0" t="n">
        <v>0.124769726917327</v>
      </c>
      <c r="BF230" s="3" t="n">
        <v>0.081569726917327</v>
      </c>
      <c r="BG230" s="0" t="n">
        <v>0.0685047481120654</v>
      </c>
      <c r="BH230" s="0" t="n">
        <f aca="false">M230/BG230</f>
        <v>0.674516608172259</v>
      </c>
      <c r="BI230" s="0" t="n">
        <v>1.55817485144257E-017</v>
      </c>
      <c r="BJ230" s="0" t="n">
        <v>0.401175413992891</v>
      </c>
      <c r="BK230" s="0" t="n">
        <v>0</v>
      </c>
      <c r="BL230" s="0" t="n">
        <v>0</v>
      </c>
      <c r="BM230" s="0" t="n">
        <v>0</v>
      </c>
      <c r="BN230" s="0" t="e">
        <f aca="false">#REF!/#REF!</f>
        <v>#REF!</v>
      </c>
      <c r="BO230" s="0" t="n">
        <v>0</v>
      </c>
    </row>
    <row r="231" customFormat="false" ht="12.8" hidden="false" customHeight="false" outlineLevel="0" collapsed="false">
      <c r="A231" s="0" t="s">
        <v>283</v>
      </c>
      <c r="B231" s="0" t="s">
        <v>111</v>
      </c>
      <c r="C231" s="21" t="s">
        <v>51</v>
      </c>
      <c r="D231" s="0" t="s">
        <v>187</v>
      </c>
      <c r="E231" s="0" t="n">
        <v>0.44765</v>
      </c>
      <c r="F231" s="0" t="n">
        <v>4.4015</v>
      </c>
      <c r="G231" s="0" t="n">
        <v>638</v>
      </c>
      <c r="H231" s="0" t="n">
        <v>579</v>
      </c>
      <c r="I231" s="0" t="s">
        <v>53</v>
      </c>
      <c r="J231" s="0" t="n">
        <v>0.089285478</v>
      </c>
      <c r="K231" s="0" t="n">
        <v>0.361873</v>
      </c>
      <c r="L231" s="0" t="n">
        <v>0.0318659450551454</v>
      </c>
      <c r="M231" s="1" t="n">
        <v>0.0361522652306652</v>
      </c>
      <c r="N231" s="0" t="n">
        <v>0.182880872037664</v>
      </c>
      <c r="O231" s="0" t="n">
        <v>0.455441497135471</v>
      </c>
      <c r="P231" s="0" t="n">
        <v>0.322004116609828</v>
      </c>
      <c r="Q231" s="0" t="n">
        <v>0.158525341848503</v>
      </c>
      <c r="R231" s="11" t="n">
        <v>0.275675257175</v>
      </c>
      <c r="S231" s="0" t="n">
        <v>0.243809312119855</v>
      </c>
      <c r="T231" s="0" t="n">
        <v>0.000192083238907</v>
      </c>
      <c r="U231" s="0" t="n">
        <v>0.000239771988907</v>
      </c>
      <c r="V231" s="0" t="n">
        <v>0</v>
      </c>
      <c r="Z231" s="1"/>
      <c r="AA231" s="1"/>
      <c r="AB231" s="11"/>
      <c r="AJ231" s="0" t="n">
        <v>2.05613843655941</v>
      </c>
      <c r="AK231" s="0" t="n">
        <v>0.00046606699376</v>
      </c>
      <c r="AL231" s="0" t="n">
        <f aca="false">AK231-0.00004768875</f>
        <v>0.00041837824376</v>
      </c>
      <c r="AM231" s="0" t="n">
        <v>0.666658809503012</v>
      </c>
      <c r="AN231" s="0" t="n">
        <v>2.39580874824413E-041</v>
      </c>
      <c r="AO231" s="0" t="n">
        <v>0.000182208269293</v>
      </c>
      <c r="AP231" s="0" t="n">
        <v>1.45683570939111</v>
      </c>
      <c r="AQ231" s="0" t="n">
        <v>0</v>
      </c>
      <c r="AR231" s="0" t="n">
        <v>-4.768875E-005</v>
      </c>
      <c r="AS231" s="0" t="n">
        <v>100</v>
      </c>
      <c r="AT231" s="0" t="n">
        <v>0</v>
      </c>
      <c r="AU231" s="3" t="n">
        <v>0.124144646275025</v>
      </c>
      <c r="AV231" s="0" t="n">
        <v>0.197061895398772</v>
      </c>
      <c r="AW231" s="0" t="n">
        <v>0.765730073746731</v>
      </c>
      <c r="AZ231" s="0" t="n">
        <v>0.247920541405057</v>
      </c>
      <c r="BA231" s="0" t="n">
        <v>0.225420541405057</v>
      </c>
      <c r="BC231" s="0" t="n">
        <v>0.344504116609828</v>
      </c>
      <c r="BD231" s="0" t="n">
        <v>0.322004116609828</v>
      </c>
      <c r="BE231" s="0" t="n">
        <v>0.15818756426288</v>
      </c>
      <c r="BF231" s="3" t="n">
        <v>0.11318756426288</v>
      </c>
      <c r="BG231" s="0" t="n">
        <v>0.0614515396405592</v>
      </c>
      <c r="BH231" s="0" t="n">
        <f aca="false">M231/BG231</f>
        <v>0.588305279934825</v>
      </c>
      <c r="BI231" s="0" t="n">
        <v>9.56189193699414E-039</v>
      </c>
      <c r="BJ231" s="0" t="n">
        <v>0.46737966216402</v>
      </c>
      <c r="BK231" s="0" t="n">
        <v>0.681878391393994</v>
      </c>
      <c r="BL231" s="0" t="n">
        <v>0.788230073746731</v>
      </c>
      <c r="BM231" s="0" t="n">
        <v>0.765730073746731</v>
      </c>
      <c r="BN231" s="0" t="e">
        <f aca="false">#REF!/#REF!</f>
        <v>#REF!</v>
      </c>
      <c r="BO231" s="0" t="e">
        <f aca="false">BN231-0.0225</f>
        <v>#REF!</v>
      </c>
    </row>
    <row r="232" customFormat="false" ht="12.8" hidden="false" customHeight="false" outlineLevel="0" collapsed="false">
      <c r="A232" s="0" t="s">
        <v>284</v>
      </c>
      <c r="B232" s="0" t="s">
        <v>111</v>
      </c>
      <c r="C232" s="21" t="s">
        <v>51</v>
      </c>
      <c r="D232" s="0" t="s">
        <v>187</v>
      </c>
      <c r="E232" s="0" t="n">
        <v>0.4839</v>
      </c>
      <c r="F232" s="0" t="n">
        <v>4.9785</v>
      </c>
      <c r="G232" s="0" t="n">
        <v>496</v>
      </c>
      <c r="H232" s="0" t="n">
        <v>443</v>
      </c>
      <c r="I232" s="0" t="s">
        <v>55</v>
      </c>
      <c r="J232" s="0" t="n">
        <v>0.0405007433</v>
      </c>
      <c r="K232" s="0" t="n">
        <v>0.195134</v>
      </c>
      <c r="L232" s="0" t="n">
        <v>0.0249682658131029</v>
      </c>
      <c r="M232" s="1" t="n">
        <v>0.05934309214099</v>
      </c>
      <c r="N232" s="0" t="n">
        <v>0.280641898915962</v>
      </c>
      <c r="O232" s="0" t="n">
        <v>0.56036630155525</v>
      </c>
      <c r="P232" s="0" t="n">
        <v>0.362583073748793</v>
      </c>
      <c r="Q232" s="0" t="n">
        <v>0.332728448345636</v>
      </c>
      <c r="R232" s="11" t="n">
        <v>0.362712225075</v>
      </c>
      <c r="S232" s="0" t="n">
        <v>0.337743959261897</v>
      </c>
      <c r="T232" s="0" t="n">
        <v>0.0002921771179745</v>
      </c>
      <c r="U232" s="0" t="n">
        <v>0.0003398658679745</v>
      </c>
      <c r="V232" s="0" t="n">
        <v>0</v>
      </c>
      <c r="Z232" s="1"/>
      <c r="AA232" s="1"/>
      <c r="AB232" s="11"/>
      <c r="AJ232" s="0" t="n">
        <v>2.47479233846928</v>
      </c>
      <c r="AK232" s="0" t="n">
        <v>0.000707707925882</v>
      </c>
      <c r="AL232" s="0" t="n">
        <f aca="false">AK232-0.00004768875</f>
        <v>0.000660019175882</v>
      </c>
      <c r="AM232" s="0" t="n">
        <v>0.511932013279338</v>
      </c>
      <c r="AN232" s="0" t="n">
        <v>3.16314407594359E-031</v>
      </c>
      <c r="AO232" s="0" t="n">
        <v>0.0002784550147545</v>
      </c>
      <c r="AP232" s="0" t="n">
        <v>2.05963040229805</v>
      </c>
      <c r="AQ232" s="0" t="n">
        <v>0</v>
      </c>
      <c r="AR232" s="0" t="n">
        <v>-4.768875E-005</v>
      </c>
      <c r="AS232" s="0" t="n">
        <v>100</v>
      </c>
      <c r="AT232" s="0" t="n">
        <v>0</v>
      </c>
      <c r="AU232" s="3" t="n">
        <v>0.118291639592725</v>
      </c>
      <c r="AV232" s="0" t="n">
        <v>0.0933939544800343</v>
      </c>
      <c r="AW232" s="0" t="n">
        <v>0.207341034579931</v>
      </c>
      <c r="AZ232" s="0" t="n">
        <v>0.356681954318639</v>
      </c>
      <c r="BA232" s="0" t="n">
        <v>0.334181954318639</v>
      </c>
      <c r="BC232" s="0" t="n">
        <v>0.385083073748793</v>
      </c>
      <c r="BD232" s="0" t="n">
        <v>0.362583073748793</v>
      </c>
      <c r="BE232" s="0" t="n">
        <v>0.153963061873613</v>
      </c>
      <c r="BF232" s="3" t="n">
        <v>0.108963061873613</v>
      </c>
      <c r="BG232" s="0" t="n">
        <v>0.0852860004737655</v>
      </c>
      <c r="BH232" s="0" t="n">
        <f aca="false">M232/BG232</f>
        <v>0.6958128158354</v>
      </c>
      <c r="BI232" s="0" t="n">
        <v>4.39274283231542E-020</v>
      </c>
      <c r="BJ232" s="0" t="n">
        <v>0.406544212113702</v>
      </c>
      <c r="BK232" s="0" t="n">
        <v>0.347612559195026</v>
      </c>
      <c r="BL232" s="0" t="n">
        <v>0.229841034579931</v>
      </c>
      <c r="BM232" s="0" t="n">
        <v>0.207341034579931</v>
      </c>
      <c r="BN232" s="0" t="e">
        <f aca="false">#REF!/#REF!</f>
        <v>#REF!</v>
      </c>
      <c r="BO232" s="0" t="e">
        <f aca="false">BN232-0.0225</f>
        <v>#REF!</v>
      </c>
    </row>
    <row r="233" customFormat="false" ht="12.8" hidden="false" customHeight="false" outlineLevel="0" collapsed="false">
      <c r="A233" s="0" t="s">
        <v>285</v>
      </c>
      <c r="B233" s="0" t="s">
        <v>111</v>
      </c>
      <c r="C233" s="0" t="s">
        <v>59</v>
      </c>
      <c r="D233" s="0" t="s">
        <v>187</v>
      </c>
      <c r="E233" s="0" t="n">
        <v>0.0969975</v>
      </c>
      <c r="F233" s="0" t="n">
        <v>1.676</v>
      </c>
      <c r="G233" s="0" t="n">
        <v>145</v>
      </c>
      <c r="H233" s="0" t="n">
        <v>114</v>
      </c>
      <c r="I233" s="0" t="s">
        <v>53</v>
      </c>
      <c r="J233" s="0" t="n">
        <v>0</v>
      </c>
      <c r="K233" s="0" t="n">
        <v>0.043859</v>
      </c>
      <c r="L233" s="0" t="n">
        <v>0.00640325389082035</v>
      </c>
      <c r="M233" s="1" t="n">
        <v>0.0436025575754717</v>
      </c>
      <c r="N233" s="0" t="n">
        <v>0.1651836805034</v>
      </c>
      <c r="O233" s="0" t="n">
        <v>0.228215811237941</v>
      </c>
      <c r="P233" s="0" t="n">
        <v>0.167697498681806</v>
      </c>
      <c r="Q233" s="0" t="n">
        <v>0.154789287925197</v>
      </c>
      <c r="R233" s="11" t="n">
        <v>0.0490259687664</v>
      </c>
      <c r="S233" s="0" t="n">
        <v>0.0426227148755797</v>
      </c>
      <c r="T233" s="0" t="n">
        <v>0.00017735274543</v>
      </c>
      <c r="U233" s="0" t="n">
        <v>0.00021954469935</v>
      </c>
      <c r="V233" s="0" t="n">
        <v>0.000214846791222</v>
      </c>
      <c r="Z233" s="1"/>
      <c r="AA233" s="1"/>
      <c r="AB233" s="11"/>
      <c r="AJ233" s="0" t="n">
        <v>0.996911683209799</v>
      </c>
      <c r="AK233" s="0" t="n">
        <v>0.000257038745142</v>
      </c>
      <c r="AL233" s="0" t="n">
        <f aca="false">AK233-0.00004219195392</f>
        <v>0.000214846791222</v>
      </c>
      <c r="AM233" s="0" t="n">
        <v>0.353874992749842</v>
      </c>
      <c r="AN233" s="0" t="n">
        <v>0.0496649485700095</v>
      </c>
      <c r="AO233" s="0" t="n">
        <v>0.00017735274543</v>
      </c>
      <c r="AP233" s="0" t="n">
        <v>0.996911683209799</v>
      </c>
      <c r="AQ233" s="0" t="n">
        <v>0.000257038745142</v>
      </c>
      <c r="AR233" s="0" t="n">
        <v>0.000214846791222</v>
      </c>
      <c r="AS233" s="0" t="n">
        <v>0.353874992749842</v>
      </c>
      <c r="AT233" s="0" t="n">
        <v>0.0993298971400189</v>
      </c>
      <c r="AU233" s="3" t="n">
        <v>0.0451076133784002</v>
      </c>
      <c r="AV233" s="0" t="n">
        <v>0.215892787925489</v>
      </c>
      <c r="AW233" s="0" t="n">
        <v>0</v>
      </c>
      <c r="AZ233" s="0" t="n">
        <v>0.269459491914283</v>
      </c>
      <c r="BA233" s="0" t="n">
        <v>0.247859491914283</v>
      </c>
      <c r="BC233" s="0" t="n">
        <v>0.189297498681806</v>
      </c>
      <c r="BD233" s="0" t="n">
        <v>0.167697498681806</v>
      </c>
      <c r="BE233" s="0" t="n">
        <v>0.0888603078449649</v>
      </c>
      <c r="BF233" s="3" t="n">
        <v>0.0456603078449649</v>
      </c>
      <c r="BG233" s="0" t="n">
        <v>0.0516744722016815</v>
      </c>
      <c r="BH233" s="0" t="n">
        <f aca="false">M233/BG233</f>
        <v>0.843792993284852</v>
      </c>
      <c r="BI233" s="0" t="n">
        <v>0.0414775770812564</v>
      </c>
      <c r="BJ233" s="0" t="n">
        <v>0.525333781336359</v>
      </c>
      <c r="BK233" s="0" t="n">
        <v>0</v>
      </c>
      <c r="BL233" s="0" t="n">
        <v>0</v>
      </c>
      <c r="BM233" s="0" t="n">
        <v>0</v>
      </c>
      <c r="BN233" s="0" t="e">
        <f aca="false">#REF!/#REF!</f>
        <v>#REF!</v>
      </c>
      <c r="BO233" s="0" t="n">
        <v>0</v>
      </c>
    </row>
    <row r="234" customFormat="false" ht="12.8" hidden="false" customHeight="false" outlineLevel="0" collapsed="false">
      <c r="A234" s="0" t="s">
        <v>286</v>
      </c>
      <c r="B234" s="0" t="s">
        <v>111</v>
      </c>
      <c r="C234" s="21" t="s">
        <v>59</v>
      </c>
      <c r="D234" s="0" t="s">
        <v>187</v>
      </c>
      <c r="E234" s="0" t="n">
        <v>0.25175</v>
      </c>
      <c r="F234" s="0" t="n">
        <v>2.4795</v>
      </c>
      <c r="G234" s="0" t="n">
        <v>570</v>
      </c>
      <c r="H234" s="0" t="n">
        <v>513</v>
      </c>
      <c r="I234" s="0" t="s">
        <v>55</v>
      </c>
      <c r="J234" s="0" t="n">
        <v>0</v>
      </c>
      <c r="K234" s="0" t="n">
        <v>0.109745</v>
      </c>
      <c r="L234" s="0" t="n">
        <v>0.0253539049675466</v>
      </c>
      <c r="M234" s="1" t="n">
        <v>0.0401322971503393</v>
      </c>
      <c r="N234" s="0" t="n">
        <v>0.250293100779778</v>
      </c>
      <c r="O234" s="0" t="n">
        <v>0.291411665405397</v>
      </c>
      <c r="P234" s="0" t="n">
        <v>0.256308384983379</v>
      </c>
      <c r="Q234" s="0" t="n">
        <v>0.384750916624217</v>
      </c>
      <c r="R234" s="11" t="n">
        <v>0.202555740808</v>
      </c>
      <c r="S234" s="0" t="n">
        <v>0.177201835840453</v>
      </c>
      <c r="T234" s="0" t="n">
        <v>0.000204632087149</v>
      </c>
      <c r="U234" s="0" t="n">
        <v>0.000246824041069</v>
      </c>
      <c r="V234" s="0" t="n">
        <v>0.000233902735469</v>
      </c>
      <c r="Z234" s="1"/>
      <c r="AA234" s="1"/>
      <c r="AB234" s="11"/>
      <c r="AJ234" s="0" t="n">
        <v>1.00720795609784</v>
      </c>
      <c r="AK234" s="0" t="n">
        <v>0.0002837345163015</v>
      </c>
      <c r="AL234" s="0" t="n">
        <f aca="false">AK234-0.00004219195392</f>
        <v>0.0002415425623815</v>
      </c>
      <c r="AM234" s="0" t="n">
        <v>1.05258223556202</v>
      </c>
      <c r="AN234" s="0" t="n">
        <v>0.000702333010228847</v>
      </c>
      <c r="AO234" s="0" t="n">
        <v>0.000202925979813</v>
      </c>
      <c r="AP234" s="0" t="n">
        <v>0.925533057239467</v>
      </c>
      <c r="AQ234" s="0" t="n">
        <v>0.000276094689389</v>
      </c>
      <c r="AR234" s="0" t="n">
        <v>0.000233902735469</v>
      </c>
      <c r="AS234" s="0" t="n">
        <v>1.05896597855713</v>
      </c>
      <c r="AT234" s="0" t="n">
        <v>0.0109433726294745</v>
      </c>
      <c r="AU234" s="3" t="n">
        <v>0.086668715050004</v>
      </c>
      <c r="AV234" s="0" t="n">
        <v>0.167416174657668</v>
      </c>
      <c r="AW234" s="0" t="n">
        <v>0</v>
      </c>
      <c r="AZ234" s="0" t="n">
        <v>0.253373974181215</v>
      </c>
      <c r="BA234" s="0" t="n">
        <v>0.231773974181215</v>
      </c>
      <c r="BC234" s="0" t="n">
        <v>0.277908384983379</v>
      </c>
      <c r="BD234" s="0" t="n">
        <v>0.256308384983379</v>
      </c>
      <c r="BE234" s="0" t="n">
        <v>0.131585115587302</v>
      </c>
      <c r="BF234" s="3" t="n">
        <v>0.088385115587302</v>
      </c>
      <c r="BG234" s="0" t="n">
        <v>0.0484570281285065</v>
      </c>
      <c r="BH234" s="0" t="n">
        <f aca="false">M234/BG234</f>
        <v>0.828203847828012</v>
      </c>
      <c r="BI234" s="0" t="n">
        <v>3.5623895774811E-006</v>
      </c>
      <c r="BJ234" s="0" t="n">
        <v>0.497556667515256</v>
      </c>
      <c r="BK234" s="0" t="n">
        <v>0</v>
      </c>
      <c r="BL234" s="0" t="n">
        <v>0</v>
      </c>
      <c r="BM234" s="0" t="n">
        <v>0</v>
      </c>
      <c r="BN234" s="0" t="e">
        <f aca="false">#REF!/#REF!</f>
        <v>#REF!</v>
      </c>
      <c r="BO234" s="0" t="n">
        <v>0</v>
      </c>
    </row>
    <row r="235" customFormat="false" ht="12.8" hidden="false" customHeight="false" outlineLevel="0" collapsed="false">
      <c r="A235" s="0" t="s">
        <v>287</v>
      </c>
      <c r="B235" s="0" t="s">
        <v>111</v>
      </c>
      <c r="C235" s="21" t="s">
        <v>59</v>
      </c>
      <c r="D235" s="0" t="s">
        <v>187</v>
      </c>
      <c r="E235" s="0" t="n">
        <v>0.141075</v>
      </c>
      <c r="F235" s="0" t="n">
        <v>2.03975</v>
      </c>
      <c r="G235" s="0" t="n">
        <v>106</v>
      </c>
      <c r="H235" s="0" t="n">
        <v>91</v>
      </c>
      <c r="I235" s="0" t="s">
        <v>53</v>
      </c>
      <c r="J235" s="0" t="n">
        <v>0</v>
      </c>
      <c r="K235" s="0" t="n">
        <v>0.054077</v>
      </c>
      <c r="L235" s="0" t="n">
        <v>0.00471489534632635</v>
      </c>
      <c r="M235" s="1" t="n">
        <v>0.105757983253795</v>
      </c>
      <c r="N235" s="0" t="n">
        <v>0.365630308474841</v>
      </c>
      <c r="O235" s="0" t="n">
        <v>0.330507150978245</v>
      </c>
      <c r="P235" s="0" t="n">
        <v>0.245346814279922</v>
      </c>
      <c r="Q235" s="0" t="n">
        <v>0.364931593409612</v>
      </c>
      <c r="R235" s="11" t="n">
        <v>0.105559265492</v>
      </c>
      <c r="S235" s="0" t="n">
        <v>0.100844370145674</v>
      </c>
      <c r="T235" s="0" t="n">
        <v>0.0003210421936625</v>
      </c>
      <c r="U235" s="0" t="n">
        <v>0.0003632341475825</v>
      </c>
      <c r="V235" s="0" t="n">
        <v>0.000403009376708</v>
      </c>
      <c r="Z235" s="1"/>
      <c r="AA235" s="1"/>
      <c r="AB235" s="11"/>
      <c r="AJ235" s="0" t="n">
        <v>3.04628707834367</v>
      </c>
      <c r="AK235" s="0" t="n">
        <v>0.000875368859756</v>
      </c>
      <c r="AL235" s="0" t="n">
        <f aca="false">AK235-0.00004219195392</f>
        <v>0.000833176905836</v>
      </c>
      <c r="AM235" s="0" t="n">
        <v>0.882287055318035</v>
      </c>
      <c r="AN235" s="0" t="n">
        <v>0.000924237235808028</v>
      </c>
      <c r="AO235" s="0" t="n">
        <v>0.0003210421936625</v>
      </c>
      <c r="AP235" s="0" t="n">
        <v>0.342511820752643</v>
      </c>
      <c r="AQ235" s="0" t="n">
        <v>0.000445201330628</v>
      </c>
      <c r="AR235" s="0" t="n">
        <v>0.000403009376708</v>
      </c>
      <c r="AS235" s="0" t="n">
        <v>1.07923024363819</v>
      </c>
      <c r="AT235" s="0" t="n">
        <v>0.0506205181127782</v>
      </c>
      <c r="AU235" s="3" t="n">
        <v>0.166430859491216</v>
      </c>
      <c r="AV235" s="0" t="n">
        <v>0.30822373181306</v>
      </c>
      <c r="AW235" s="0" t="n">
        <v>0</v>
      </c>
      <c r="AZ235" s="0" t="n">
        <v>0.613942763744814</v>
      </c>
      <c r="BA235" s="0" t="n">
        <v>0.592342763744814</v>
      </c>
      <c r="BC235" s="0" t="n">
        <v>0.266946814279922</v>
      </c>
      <c r="BD235" s="0" t="n">
        <v>0.245346814279922</v>
      </c>
      <c r="BE235" s="0" t="n">
        <v>0.199961808422804</v>
      </c>
      <c r="BF235" s="3" t="n">
        <v>0.156761808422804</v>
      </c>
      <c r="BG235" s="0" t="n">
        <v>0.129243147420634</v>
      </c>
      <c r="BH235" s="0" t="n">
        <f aca="false">M235/BG235</f>
        <v>0.818286968125248</v>
      </c>
      <c r="BI235" s="0" t="n">
        <v>0.000233707701238973</v>
      </c>
      <c r="BJ235" s="0" t="n">
        <v>0.890665536221264</v>
      </c>
      <c r="BK235" s="0" t="n">
        <v>0</v>
      </c>
      <c r="BL235" s="0" t="n">
        <v>0</v>
      </c>
      <c r="BM235" s="0" t="n">
        <v>0</v>
      </c>
      <c r="BN235" s="0" t="e">
        <f aca="false">#REF!/#REF!</f>
        <v>#REF!</v>
      </c>
      <c r="BO235" s="0" t="n">
        <v>0</v>
      </c>
    </row>
    <row r="236" customFormat="false" ht="12.8" hidden="false" customHeight="false" outlineLevel="0" collapsed="false">
      <c r="A236" s="0" t="s">
        <v>288</v>
      </c>
      <c r="B236" s="0" t="s">
        <v>111</v>
      </c>
      <c r="C236" s="21" t="s">
        <v>51</v>
      </c>
      <c r="D236" s="0" t="s">
        <v>187</v>
      </c>
      <c r="E236" s="0" t="n">
        <v>0.19425</v>
      </c>
      <c r="F236" s="0" t="n">
        <v>2.27725</v>
      </c>
      <c r="G236" s="0" t="n">
        <v>53</v>
      </c>
      <c r="H236" s="0" t="n">
        <v>33</v>
      </c>
      <c r="I236" s="0" t="s">
        <v>53</v>
      </c>
      <c r="J236" s="0" t="n">
        <v>0.027287</v>
      </c>
      <c r="K236" s="0" t="n">
        <v>0.098437</v>
      </c>
      <c r="L236" s="0" t="n">
        <v>0.00266857966920065</v>
      </c>
      <c r="M236" s="1" t="n">
        <v>0.089523262851771</v>
      </c>
      <c r="N236" s="0" t="n">
        <v>0.219990784268272</v>
      </c>
      <c r="O236" s="0" t="n">
        <v>0.227541352016968</v>
      </c>
      <c r="P236" s="0" t="n">
        <v>0.213048846513867</v>
      </c>
      <c r="Q236" s="0" t="n">
        <v>0.219272849159645</v>
      </c>
      <c r="R236" s="11" t="n">
        <v>0.03968361057</v>
      </c>
      <c r="S236" s="0" t="n">
        <v>0.0370150309007993</v>
      </c>
      <c r="T236" s="0" t="n">
        <v>0.00051902762837712</v>
      </c>
      <c r="U236" s="0" t="n">
        <v>0.00056671637837712</v>
      </c>
      <c r="V236" s="0" t="n">
        <v>0.000544267267368</v>
      </c>
      <c r="Z236" s="1"/>
      <c r="AA236" s="1"/>
      <c r="AB236" s="11"/>
      <c r="AJ236" s="0" t="n">
        <v>-2.878067E-014</v>
      </c>
      <c r="AK236" s="0" t="n">
        <v>0.000591956017368</v>
      </c>
      <c r="AL236" s="0" t="n">
        <f aca="false">AK236-0.00004768875</f>
        <v>0.000544267267368</v>
      </c>
      <c r="AM236" s="0" t="n">
        <v>100</v>
      </c>
      <c r="AN236" s="12" t="n">
        <v>0</v>
      </c>
      <c r="AO236" s="0" t="n">
        <v>0.000519027628377</v>
      </c>
      <c r="AP236" s="0" t="n">
        <v>0</v>
      </c>
      <c r="AQ236" s="0" t="n">
        <v>0.000591956017368</v>
      </c>
      <c r="AR236" s="0" t="n">
        <v>0.000544267267368</v>
      </c>
      <c r="AS236" s="0" t="n">
        <v>100</v>
      </c>
      <c r="AT236" s="0" t="n">
        <v>0</v>
      </c>
      <c r="AU236" s="3" t="n">
        <v>0.067864164893348</v>
      </c>
      <c r="AV236" s="0" t="n">
        <v>0.454056037632407</v>
      </c>
      <c r="AW236" s="0" t="n">
        <v>0.100579833891919</v>
      </c>
      <c r="AZ236" s="0" t="n">
        <v>0.197596503958729</v>
      </c>
      <c r="BA236" s="0" t="n">
        <v>0.175096503958729</v>
      </c>
      <c r="BC236" s="0" t="n">
        <v>0.235548846513867</v>
      </c>
      <c r="BD236" s="0" t="n">
        <v>0.213048846513867</v>
      </c>
      <c r="BE236" s="0" t="n">
        <v>0.107806552861922</v>
      </c>
      <c r="BF236" s="3" t="n">
        <v>0.062806552861922</v>
      </c>
      <c r="BG236" s="0" t="n">
        <v>0.10257329702857</v>
      </c>
      <c r="BH236" s="0" t="n">
        <f aca="false">M236/BG236</f>
        <v>0.872773572120197</v>
      </c>
      <c r="BI236" s="0" t="n">
        <v>0.069629080123468</v>
      </c>
      <c r="BJ236" s="0" t="n">
        <v>0.655790963555697</v>
      </c>
      <c r="BK236" s="0" t="n">
        <v>0.0817357790723532</v>
      </c>
      <c r="BL236" s="0" t="n">
        <v>0.123079833891919</v>
      </c>
      <c r="BM236" s="0" t="n">
        <v>0.100579833891919</v>
      </c>
      <c r="BN236" s="0" t="e">
        <f aca="false">#REF!/#REF!</f>
        <v>#REF!</v>
      </c>
      <c r="BO236" s="0" t="e">
        <f aca="false">BN236-0.0225</f>
        <v>#REF!</v>
      </c>
    </row>
    <row r="237" customFormat="false" ht="12.8" hidden="false" customHeight="false" outlineLevel="0" collapsed="false">
      <c r="A237" s="0" t="s">
        <v>289</v>
      </c>
      <c r="B237" s="0" t="s">
        <v>111</v>
      </c>
      <c r="C237" s="0" t="s">
        <v>59</v>
      </c>
      <c r="D237" s="0" t="s">
        <v>187</v>
      </c>
      <c r="E237" s="0" t="n">
        <v>0.3212</v>
      </c>
      <c r="F237" s="0" t="n">
        <v>4.22825</v>
      </c>
      <c r="G237" s="0" t="n">
        <v>560</v>
      </c>
      <c r="H237" s="0" t="n">
        <v>514</v>
      </c>
      <c r="I237" s="0" t="s">
        <v>55</v>
      </c>
      <c r="J237" s="0" t="n">
        <v>0</v>
      </c>
      <c r="K237" s="0" t="n">
        <v>0.074332</v>
      </c>
      <c r="L237" s="0" t="n">
        <v>0.0249045364506125</v>
      </c>
      <c r="M237" s="1" t="n">
        <v>0.0350569870772472</v>
      </c>
      <c r="N237" s="0" t="n">
        <v>0.246984015661435</v>
      </c>
      <c r="O237" s="0" t="n">
        <v>0.31172106488215</v>
      </c>
      <c r="P237" s="0" t="n">
        <v>0.247498244716636</v>
      </c>
      <c r="Q237" s="0" t="n">
        <v>0.316882950075975</v>
      </c>
      <c r="R237" s="11" t="n">
        <v>0.192073871864</v>
      </c>
      <c r="S237" s="0" t="n">
        <v>0.167169335413387</v>
      </c>
      <c r="T237" s="0" t="n">
        <v>0.0001722042772</v>
      </c>
      <c r="U237" s="0" t="n">
        <v>0.00021439623112</v>
      </c>
      <c r="V237" s="0" t="n">
        <v>0.000217147383763</v>
      </c>
      <c r="Z237" s="1"/>
      <c r="AA237" s="1"/>
      <c r="AB237" s="11"/>
      <c r="AJ237" s="0" t="n">
        <v>2.12764367180885</v>
      </c>
      <c r="AK237" s="0" t="n">
        <v>0.000263266136802</v>
      </c>
      <c r="AL237" s="0" t="n">
        <f aca="false">AK237-0.00004219195392</f>
        <v>0.000221074182882</v>
      </c>
      <c r="AM237" s="0" t="n">
        <v>0.855783803786106</v>
      </c>
      <c r="AN237" s="0" t="n">
        <v>7.2905439852328E-007</v>
      </c>
      <c r="AO237" s="0" t="n">
        <v>0.0001717379166345</v>
      </c>
      <c r="AP237" s="0" t="n">
        <v>2.02254013846757</v>
      </c>
      <c r="AQ237" s="0" t="n">
        <v>0.000259339337683</v>
      </c>
      <c r="AR237" s="0" t="n">
        <v>0.000217147383763</v>
      </c>
      <c r="AS237" s="0" t="n">
        <v>0.961959011776368</v>
      </c>
      <c r="AT237" s="0" t="n">
        <v>1.38113973019125E-006</v>
      </c>
      <c r="AU237" s="3" t="n">
        <v>0.087582147249895</v>
      </c>
      <c r="AV237" s="0" t="n">
        <v>0.404499891004554</v>
      </c>
      <c r="AW237" s="0" t="n">
        <v>0</v>
      </c>
      <c r="AZ237" s="0" t="n">
        <v>0.239858071558506</v>
      </c>
      <c r="BA237" s="0" t="n">
        <v>0.218258071558506</v>
      </c>
      <c r="BC237" s="0" t="n">
        <v>0.269098244716636</v>
      </c>
      <c r="BD237" s="0" t="n">
        <v>0.247498244716636</v>
      </c>
      <c r="BE237" s="0" t="n">
        <v>0.134604284669901</v>
      </c>
      <c r="BF237" s="3" t="n">
        <v>0.091404284669901</v>
      </c>
      <c r="BG237" s="0" t="n">
        <v>0.045646654542041</v>
      </c>
      <c r="BH237" s="0" t="n">
        <f aca="false">M237/BG237</f>
        <v>0.768007807559246</v>
      </c>
      <c r="BI237" s="0" t="n">
        <v>4.2945500602E-010</v>
      </c>
      <c r="BJ237" s="0" t="n">
        <v>0.509043854821537</v>
      </c>
      <c r="BK237" s="0" t="n">
        <v>0</v>
      </c>
      <c r="BL237" s="0" t="n">
        <v>0</v>
      </c>
      <c r="BM237" s="0" t="n">
        <v>0</v>
      </c>
      <c r="BN237" s="0" t="e">
        <f aca="false">#REF!/#REF!</f>
        <v>#REF!</v>
      </c>
      <c r="BO237" s="0" t="n">
        <v>0</v>
      </c>
    </row>
    <row r="238" customFormat="false" ht="12.8" hidden="false" customHeight="false" outlineLevel="0" collapsed="false">
      <c r="A238" s="0" t="s">
        <v>290</v>
      </c>
      <c r="B238" s="0" t="s">
        <v>111</v>
      </c>
      <c r="C238" s="0" t="s">
        <v>59</v>
      </c>
      <c r="D238" s="0" t="s">
        <v>187</v>
      </c>
      <c r="E238" s="0" t="n">
        <v>0.141375</v>
      </c>
      <c r="F238" s="0" t="n">
        <v>1.93725</v>
      </c>
      <c r="G238" s="0" t="n">
        <v>348</v>
      </c>
      <c r="H238" s="0" t="n">
        <v>311</v>
      </c>
      <c r="I238" s="0" t="s">
        <v>55</v>
      </c>
      <c r="J238" s="0" t="n">
        <v>0</v>
      </c>
      <c r="K238" s="0" t="n">
        <v>0.08588</v>
      </c>
      <c r="L238" s="0" t="n">
        <v>0.015480641608642</v>
      </c>
      <c r="M238" s="1" t="n">
        <v>0.0365071114526823</v>
      </c>
      <c r="N238" s="0" t="n">
        <v>0.228811848572678</v>
      </c>
      <c r="O238" s="0" t="n">
        <v>0.308435745471505</v>
      </c>
      <c r="P238" s="0" t="n">
        <v>0.199870105253045</v>
      </c>
      <c r="Q238" s="0" t="n">
        <v>0.27495029767908</v>
      </c>
      <c r="R238" s="11" t="n">
        <v>0.119503973872</v>
      </c>
      <c r="S238" s="0" t="n">
        <v>0.104023332263358</v>
      </c>
      <c r="T238" s="0" t="n">
        <v>0.000144495286865</v>
      </c>
      <c r="U238" s="0" t="n">
        <v>0.000186687240785</v>
      </c>
      <c r="V238" s="0" t="n">
        <v>0.0001816646648675</v>
      </c>
      <c r="Z238" s="1"/>
      <c r="AA238" s="1"/>
      <c r="AB238" s="11"/>
      <c r="AJ238" s="0" t="n">
        <v>1.38428792660379</v>
      </c>
      <c r="AK238" s="0" t="n">
        <v>0.0002613265060365</v>
      </c>
      <c r="AL238" s="0" t="n">
        <f aca="false">AK238-0.00004219195392</f>
        <v>0.0002191345521165</v>
      </c>
      <c r="AM238" s="0" t="n">
        <v>0.501206726736899</v>
      </c>
      <c r="AN238" s="0" t="n">
        <v>4.2527539127476E-007</v>
      </c>
      <c r="AO238" s="0" t="n">
        <v>0.000140159474989</v>
      </c>
      <c r="AP238" s="0" t="n">
        <v>1.09112321698354</v>
      </c>
      <c r="AQ238" s="0" t="n">
        <v>0.0002238566187875</v>
      </c>
      <c r="AR238" s="0" t="n">
        <v>0.0001816646648675</v>
      </c>
      <c r="AS238" s="0" t="n">
        <v>1.12203675720282</v>
      </c>
      <c r="AT238" s="0" t="n">
        <v>0.00225143828762092</v>
      </c>
      <c r="AU238" s="3" t="n">
        <v>0.090495093056726</v>
      </c>
      <c r="AV238" s="0" t="n">
        <v>0.00202144735902092</v>
      </c>
      <c r="AW238" s="0" t="n">
        <v>0</v>
      </c>
      <c r="AZ238" s="0" t="n">
        <v>0.119333003284525</v>
      </c>
      <c r="BA238" s="0" t="n">
        <v>0.097733003284525</v>
      </c>
      <c r="BC238" s="0" t="n">
        <v>0.221470105253045</v>
      </c>
      <c r="BD238" s="0" t="n">
        <v>0.199870105253045</v>
      </c>
      <c r="BE238" s="0" t="n">
        <v>0.120384850107499</v>
      </c>
      <c r="BF238" s="3" t="n">
        <v>0.077184850107499</v>
      </c>
      <c r="BG238" s="0" t="n">
        <v>0.0530667095316989</v>
      </c>
      <c r="BH238" s="0" t="n">
        <f aca="false">M238/BG238</f>
        <v>0.687947524443269</v>
      </c>
      <c r="BI238" s="0" t="n">
        <v>1.03262789256E-009</v>
      </c>
      <c r="BJ238" s="0" t="n">
        <v>0.506852328595864</v>
      </c>
      <c r="BK238" s="0" t="n">
        <v>0</v>
      </c>
      <c r="BL238" s="0" t="n">
        <v>0</v>
      </c>
      <c r="BM238" s="0" t="n">
        <v>0</v>
      </c>
      <c r="BN238" s="0" t="e">
        <f aca="false">#REF!/#REF!</f>
        <v>#REF!</v>
      </c>
      <c r="BO238" s="0" t="n">
        <v>0</v>
      </c>
    </row>
    <row r="239" customFormat="false" ht="12.8" hidden="false" customHeight="false" outlineLevel="0" collapsed="false">
      <c r="A239" s="0" t="s">
        <v>291</v>
      </c>
      <c r="B239" s="0" t="s">
        <v>111</v>
      </c>
      <c r="C239" s="0" t="s">
        <v>59</v>
      </c>
      <c r="D239" s="0" t="s">
        <v>187</v>
      </c>
      <c r="E239" s="0" t="n">
        <v>0.1902</v>
      </c>
      <c r="F239" s="0" t="n">
        <v>2.69275</v>
      </c>
      <c r="G239" s="0" t="n">
        <v>364</v>
      </c>
      <c r="H239" s="0" t="n">
        <v>332</v>
      </c>
      <c r="I239" s="0" t="s">
        <v>53</v>
      </c>
      <c r="J239" s="0" t="n">
        <v>0</v>
      </c>
      <c r="K239" s="0" t="n">
        <v>0.148431</v>
      </c>
      <c r="L239" s="0" t="n">
        <v>0.0161868590333382</v>
      </c>
      <c r="M239" s="1" t="n">
        <v>0.0416553271072321</v>
      </c>
      <c r="N239" s="0" t="n">
        <v>0.263955653658616</v>
      </c>
      <c r="O239" s="0" t="n">
        <v>0.34110865547629</v>
      </c>
      <c r="P239" s="0" t="n">
        <v>0.274565611049651</v>
      </c>
      <c r="Q239" s="0" t="n">
        <v>0.215199147218074</v>
      </c>
      <c r="R239" s="11" t="n">
        <v>0.140567231856</v>
      </c>
      <c r="S239" s="0" t="n">
        <v>0.124380372822662</v>
      </c>
      <c r="T239" s="0" t="n">
        <v>0.000171572588833</v>
      </c>
      <c r="U239" s="0" t="n">
        <v>0.000213764542753</v>
      </c>
      <c r="V239" s="0" t="n">
        <v>0.0002300724191285</v>
      </c>
      <c r="Z239" s="1"/>
      <c r="AA239" s="1"/>
      <c r="AB239" s="11"/>
      <c r="AJ239" s="0" t="n">
        <v>2.21405492946098</v>
      </c>
      <c r="AK239" s="0" t="n">
        <v>0.000350160491073</v>
      </c>
      <c r="AL239" s="0" t="n">
        <f aca="false">AK239-0.00004219195392</f>
        <v>0.000307968537153</v>
      </c>
      <c r="AM239" s="0" t="n">
        <v>0.845657770277063</v>
      </c>
      <c r="AN239" s="0" t="n">
        <v>2.8748820753E-010</v>
      </c>
      <c r="AO239" s="0" t="n">
        <v>0.000155574638987</v>
      </c>
      <c r="AP239" s="0" t="n">
        <v>1.84577252123149</v>
      </c>
      <c r="AQ239" s="0" t="n">
        <v>0.0002722643730485</v>
      </c>
      <c r="AR239" s="0" t="n">
        <v>0.0002300724191285</v>
      </c>
      <c r="AS239" s="0" t="n">
        <v>0.52051283900701</v>
      </c>
      <c r="AT239" s="0" t="n">
        <v>4.1034721819506E-005</v>
      </c>
      <c r="AU239" s="3" t="n">
        <v>0.10339012068837</v>
      </c>
      <c r="AV239" s="0" t="n">
        <v>0.357947310177399</v>
      </c>
      <c r="AW239" s="0" t="n">
        <v>0</v>
      </c>
      <c r="AZ239" s="0" t="n">
        <v>0.438098645068222</v>
      </c>
      <c r="BA239" s="0" t="n">
        <v>0.416498645068222</v>
      </c>
      <c r="BC239" s="0" t="n">
        <v>0.296165611049651</v>
      </c>
      <c r="BD239" s="0" t="n">
        <v>0.274565611049651</v>
      </c>
      <c r="BE239" s="0" t="n">
        <v>0.139346259463858</v>
      </c>
      <c r="BF239" s="3" t="n">
        <v>0.096146259463858</v>
      </c>
      <c r="BG239" s="0" t="n">
        <v>0.0568225029855664</v>
      </c>
      <c r="BH239" s="0" t="n">
        <f aca="false">M239/BG239</f>
        <v>0.733078004638638</v>
      </c>
      <c r="BI239" s="0" t="n">
        <v>1.7493505289E-010</v>
      </c>
      <c r="BJ239" s="0" t="n">
        <v>0.52936916259828</v>
      </c>
      <c r="BK239" s="0" t="n">
        <v>0</v>
      </c>
      <c r="BL239" s="0" t="n">
        <v>0</v>
      </c>
      <c r="BM239" s="0" t="n">
        <v>0</v>
      </c>
      <c r="BN239" s="0" t="e">
        <f aca="false">#REF!/#REF!</f>
        <v>#REF!</v>
      </c>
      <c r="BO239" s="0" t="n">
        <v>0</v>
      </c>
    </row>
    <row r="240" customFormat="false" ht="12.8" hidden="false" customHeight="false" outlineLevel="0" collapsed="false">
      <c r="A240" s="0" t="s">
        <v>292</v>
      </c>
      <c r="B240" s="0" t="s">
        <v>111</v>
      </c>
      <c r="C240" s="21" t="s">
        <v>51</v>
      </c>
      <c r="D240" s="0" t="s">
        <v>187</v>
      </c>
      <c r="E240" s="0" t="n">
        <v>0.487025</v>
      </c>
      <c r="F240" s="0" t="n">
        <v>4.28575</v>
      </c>
      <c r="G240" s="0" t="n">
        <v>1131</v>
      </c>
      <c r="H240" s="0" t="n">
        <v>1062</v>
      </c>
      <c r="I240" s="0" t="s">
        <v>55</v>
      </c>
      <c r="J240" s="0" t="n">
        <v>0.0334547274</v>
      </c>
      <c r="K240" s="0" t="n">
        <v>0.462207</v>
      </c>
      <c r="L240" s="0" t="n">
        <v>0.0569422535786546</v>
      </c>
      <c r="M240" s="1" t="n">
        <v>0.0288997323053448</v>
      </c>
      <c r="N240" s="0" t="n">
        <v>0.219922282171991</v>
      </c>
      <c r="O240" s="0" t="n">
        <v>0.338588895741904</v>
      </c>
      <c r="P240" s="0" t="n">
        <v>0.283800441155741</v>
      </c>
      <c r="Q240" s="0" t="n">
        <v>0.389723030777299</v>
      </c>
      <c r="R240" s="11" t="n">
        <v>0.3635599527</v>
      </c>
      <c r="S240" s="0" t="n">
        <v>0.306617699121345</v>
      </c>
      <c r="T240" s="0" t="n">
        <v>0.000137305187922</v>
      </c>
      <c r="U240" s="0" t="n">
        <v>0.000184993937922</v>
      </c>
      <c r="V240" s="0" t="n">
        <v>0.000195589724345</v>
      </c>
      <c r="Z240" s="1"/>
      <c r="AA240" s="1"/>
      <c r="AB240" s="11"/>
      <c r="AJ240" s="0" t="n">
        <v>2.15340237756796</v>
      </c>
      <c r="AK240" s="0" t="n">
        <v>0.000264639226252</v>
      </c>
      <c r="AL240" s="0" t="n">
        <f aca="false">AK240-0.00004768875</f>
        <v>0.000216950476252</v>
      </c>
      <c r="AM240" s="0" t="n">
        <v>0.783791988583935</v>
      </c>
      <c r="AN240" s="0" t="n">
        <v>6.26338896201073E-041</v>
      </c>
      <c r="AO240" s="0" t="n">
        <v>0.000136714730671</v>
      </c>
      <c r="AP240" s="0" t="n">
        <v>1.47952071027137</v>
      </c>
      <c r="AQ240" s="0" t="n">
        <v>0.000243278474345</v>
      </c>
      <c r="AR240" s="0" t="n">
        <v>0.000195589724345</v>
      </c>
      <c r="AS240" s="0" t="n">
        <v>0.837751985741416</v>
      </c>
      <c r="AT240" s="0" t="n">
        <v>6.93554397739452E-026</v>
      </c>
      <c r="AU240" s="3" t="n">
        <v>0.103261754969874</v>
      </c>
      <c r="AV240" s="0" t="n">
        <v>0.0548480235368626</v>
      </c>
      <c r="AW240" s="0" t="n">
        <v>0.262519153444688</v>
      </c>
      <c r="AZ240" s="0" t="n">
        <v>0.15593001224151</v>
      </c>
      <c r="BA240" s="0" t="n">
        <v>0.13343001224151</v>
      </c>
      <c r="BC240" s="0" t="n">
        <v>0.306300441155741</v>
      </c>
      <c r="BD240" s="0" t="n">
        <v>0.283800441155741</v>
      </c>
      <c r="BE240" s="0" t="n">
        <v>0.155022163350034</v>
      </c>
      <c r="BF240" s="3" t="n">
        <v>0.110022163350034</v>
      </c>
      <c r="BG240" s="0" t="n">
        <v>0.0432621816543149</v>
      </c>
      <c r="BH240" s="0" t="n">
        <f aca="false">M240/BG240</f>
        <v>0.668013752433181</v>
      </c>
      <c r="BI240" s="0" t="n">
        <v>5.87744264281911E-042</v>
      </c>
      <c r="BJ240" s="0" t="n">
        <v>0.518891291927391</v>
      </c>
      <c r="BK240" s="0" t="n">
        <v>0.225399047162412</v>
      </c>
      <c r="BL240" s="0" t="n">
        <v>0.285019153444688</v>
      </c>
      <c r="BM240" s="0" t="n">
        <v>0.262519153444688</v>
      </c>
      <c r="BN240" s="0" t="e">
        <f aca="false">#REF!/#REF!</f>
        <v>#REF!</v>
      </c>
      <c r="BO240" s="0" t="e">
        <f aca="false">BN240-0.0225</f>
        <v>#REF!</v>
      </c>
    </row>
    <row r="241" customFormat="false" ht="12.8" hidden="false" customHeight="false" outlineLevel="0" collapsed="false">
      <c r="A241" s="0" t="s">
        <v>293</v>
      </c>
      <c r="B241" s="0" t="s">
        <v>111</v>
      </c>
      <c r="C241" s="0" t="s">
        <v>51</v>
      </c>
      <c r="D241" s="0" t="s">
        <v>187</v>
      </c>
      <c r="E241" s="0" t="n">
        <v>0.312275</v>
      </c>
      <c r="F241" s="0" t="n">
        <v>3.7635</v>
      </c>
      <c r="G241" s="0" t="n">
        <v>193</v>
      </c>
      <c r="H241" s="0" t="n">
        <v>155</v>
      </c>
      <c r="I241" s="0" t="s">
        <v>55</v>
      </c>
      <c r="J241" s="0" t="n">
        <v>0.0493254773</v>
      </c>
      <c r="K241" s="0" t="n">
        <v>0.106767</v>
      </c>
      <c r="L241" s="0" t="n">
        <v>0.00981640247729626</v>
      </c>
      <c r="M241" s="1" t="n">
        <v>0.079280709919612</v>
      </c>
      <c r="N241" s="0" t="n">
        <v>0.248112750137325</v>
      </c>
      <c r="O241" s="0" t="n">
        <v>0.397056887622986</v>
      </c>
      <c r="P241" s="0" t="n">
        <v>0.347218159484969</v>
      </c>
      <c r="Q241" s="0" t="n">
        <v>0.405062921400398</v>
      </c>
      <c r="R241" s="11" t="n">
        <v>0.1612672271</v>
      </c>
      <c r="S241" s="0" t="n">
        <v>0.151450824622704</v>
      </c>
      <c r="T241" s="0" t="n">
        <v>0.000336273381186</v>
      </c>
      <c r="U241" s="0" t="n">
        <v>0.000383962131186</v>
      </c>
      <c r="V241" s="0" t="n">
        <v>0.0007212212420035</v>
      </c>
      <c r="Z241" s="1"/>
      <c r="AA241" s="1"/>
      <c r="AB241" s="11"/>
      <c r="AJ241" s="0" t="n">
        <v>1.07895412848346</v>
      </c>
      <c r="AK241" s="0" t="n">
        <v>0.000791058903132</v>
      </c>
      <c r="AL241" s="0" t="n">
        <f aca="false">AK241-0.00004768875</f>
        <v>0.000743370153132</v>
      </c>
      <c r="AM241" s="0" t="n">
        <v>0.0494148146001334</v>
      </c>
      <c r="AN241" s="0" t="n">
        <v>0.0269708541763661</v>
      </c>
      <c r="AO241" s="0" t="n">
        <v>0.0003356617025545</v>
      </c>
      <c r="AP241" s="0" t="n">
        <v>1.15489786352784</v>
      </c>
      <c r="AQ241" s="0" t="n">
        <v>0.0007689099920035</v>
      </c>
      <c r="AR241" s="0" t="n">
        <v>0.0007212212420035</v>
      </c>
      <c r="AS241" s="0" t="n">
        <v>0.143953156232221</v>
      </c>
      <c r="AT241" s="0" t="n">
        <v>0.0213316971082106</v>
      </c>
      <c r="AU241" s="3" t="n">
        <v>0.083523964853764</v>
      </c>
      <c r="AV241" s="0" t="n">
        <v>0.400936050441659</v>
      </c>
      <c r="AW241" s="0" t="n">
        <v>0.158146281273275</v>
      </c>
      <c r="AZ241" s="0" t="n">
        <v>0.293834437863386</v>
      </c>
      <c r="BA241" s="0" t="n">
        <v>0.271334437863386</v>
      </c>
      <c r="BC241" s="0" t="n">
        <v>0.369718159484969</v>
      </c>
      <c r="BD241" s="0" t="n">
        <v>0.347218159484969</v>
      </c>
      <c r="BE241" s="0" t="n">
        <v>0.131410649494563</v>
      </c>
      <c r="BF241" s="3" t="n">
        <v>0.086410649494563</v>
      </c>
      <c r="BG241" s="0" t="n">
        <v>0.0973171164613937</v>
      </c>
      <c r="BH241" s="0" t="n">
        <f aca="false">M241/BG241</f>
        <v>0.814663574121241</v>
      </c>
      <c r="BI241" s="0" t="n">
        <v>0.000367977411410133</v>
      </c>
      <c r="BJ241" s="0" t="n">
        <v>0.383576049210323</v>
      </c>
      <c r="BK241" s="0" t="n">
        <v>0.0282210209383268</v>
      </c>
      <c r="BL241" s="0" t="n">
        <v>0.180646281273275</v>
      </c>
      <c r="BM241" s="0" t="n">
        <v>0.158146281273275</v>
      </c>
      <c r="BN241" s="0" t="e">
        <f aca="false">#REF!/#REF!</f>
        <v>#REF!</v>
      </c>
      <c r="BO241" s="0" t="e">
        <f aca="false">BN241-0.0225</f>
        <v>#REF!</v>
      </c>
    </row>
    <row r="242" customFormat="false" ht="12.8" hidden="false" customHeight="false" outlineLevel="0" collapsed="false">
      <c r="A242" s="0" t="s">
        <v>294</v>
      </c>
      <c r="B242" s="0" t="s">
        <v>111</v>
      </c>
      <c r="C242" s="21" t="s">
        <v>59</v>
      </c>
      <c r="D242" s="0" t="s">
        <v>187</v>
      </c>
      <c r="E242" s="0" t="n">
        <v>0.2062</v>
      </c>
      <c r="F242" s="0" t="n">
        <v>2.2315</v>
      </c>
      <c r="G242" s="0" t="n">
        <v>375</v>
      </c>
      <c r="H242" s="0" t="n">
        <v>338</v>
      </c>
      <c r="I242" s="0" t="s">
        <v>55</v>
      </c>
      <c r="J242" s="0" t="n">
        <v>0</v>
      </c>
      <c r="K242" s="0" t="n">
        <v>0.101561</v>
      </c>
      <c r="L242" s="0" t="n">
        <v>0.0166816521099831</v>
      </c>
      <c r="M242" s="1" t="n">
        <v>0.0457810377552243</v>
      </c>
      <c r="N242" s="0" t="n">
        <v>0.238055060009654</v>
      </c>
      <c r="O242" s="0" t="n">
        <v>0.344553669923087</v>
      </c>
      <c r="P242" s="0" t="n">
        <v>0.25378322315165</v>
      </c>
      <c r="Q242" s="0" t="n">
        <v>0.34214143810619</v>
      </c>
      <c r="R242" s="11" t="n">
        <v>0.17471829672</v>
      </c>
      <c r="S242" s="0" t="n">
        <v>0.158036644610017</v>
      </c>
      <c r="T242" s="0" t="n">
        <v>0.0002431848210965</v>
      </c>
      <c r="U242" s="0" t="n">
        <v>0.0002853767750165</v>
      </c>
      <c r="V242" s="0" t="n">
        <v>0.0002949439484855</v>
      </c>
      <c r="Z242" s="1"/>
      <c r="AA242" s="1"/>
      <c r="AB242" s="11"/>
      <c r="AJ242" s="0" t="n">
        <v>3.07246347371686</v>
      </c>
      <c r="AK242" s="0" t="n">
        <v>0.0004952736262855</v>
      </c>
      <c r="AL242" s="0" t="n">
        <f aca="false">AK242-0.00004219195392</f>
        <v>0.0004530816723655</v>
      </c>
      <c r="AM242" s="0" t="n">
        <v>0.863421243139908</v>
      </c>
      <c r="AN242" s="0" t="n">
        <v>4.23414728837018E-021</v>
      </c>
      <c r="AO242" s="0" t="n">
        <v>0.000233553007339</v>
      </c>
      <c r="AP242" s="0" t="n">
        <v>0.776513760264393</v>
      </c>
      <c r="AQ242" s="0" t="n">
        <v>0.0003371359024055</v>
      </c>
      <c r="AR242" s="0" t="n">
        <v>0.0002949439484855</v>
      </c>
      <c r="AS242" s="0" t="n">
        <v>0.706831959279392</v>
      </c>
      <c r="AT242" s="0" t="n">
        <v>3.80894537212242E-006</v>
      </c>
      <c r="AU242" s="3" t="n">
        <v>0.10277118172104</v>
      </c>
      <c r="AV242" s="0" t="n">
        <v>0.00158648226842468</v>
      </c>
      <c r="AW242" s="0" t="n">
        <v>0</v>
      </c>
      <c r="AZ242" s="0" t="n">
        <v>0.220063799208128</v>
      </c>
      <c r="BA242" s="0" t="n">
        <v>0.198463799208128</v>
      </c>
      <c r="BC242" s="0" t="n">
        <v>0.27538322315165</v>
      </c>
      <c r="BD242" s="0" t="n">
        <v>0.25378322315165</v>
      </c>
      <c r="BE242" s="0" t="n">
        <v>0.124258759609253</v>
      </c>
      <c r="BF242" s="3" t="n">
        <v>0.081058759609253</v>
      </c>
      <c r="BG242" s="0" t="n">
        <v>0.0677284772284422</v>
      </c>
      <c r="BH242" s="0" t="n">
        <f aca="false">M242/BG242</f>
        <v>0.675949609804586</v>
      </c>
      <c r="BI242" s="0" t="n">
        <v>2.94367054204906E-017</v>
      </c>
      <c r="BJ242" s="0" t="n">
        <v>0.451230230233909</v>
      </c>
      <c r="BK242" s="0" t="n">
        <v>0</v>
      </c>
      <c r="BL242" s="0" t="n">
        <v>0</v>
      </c>
      <c r="BM242" s="0" t="n">
        <v>0</v>
      </c>
      <c r="BN242" s="0" t="e">
        <f aca="false">#REF!/#REF!</f>
        <v>#REF!</v>
      </c>
      <c r="BO242" s="0" t="n">
        <v>0</v>
      </c>
    </row>
    <row r="243" customFormat="false" ht="12.8" hidden="false" customHeight="false" outlineLevel="0" collapsed="false">
      <c r="A243" s="0" t="s">
        <v>295</v>
      </c>
      <c r="B243" s="0" t="s">
        <v>111</v>
      </c>
      <c r="C243" s="21" t="s">
        <v>59</v>
      </c>
      <c r="D243" s="0" t="s">
        <v>187</v>
      </c>
      <c r="E243" s="0" t="n">
        <v>0.0914525</v>
      </c>
      <c r="F243" s="0" t="n">
        <v>1.1085</v>
      </c>
      <c r="G243" s="0" t="n">
        <v>218</v>
      </c>
      <c r="H243" s="0" t="n">
        <v>183</v>
      </c>
      <c r="I243" s="0" t="s">
        <v>55</v>
      </c>
      <c r="J243" s="0" t="n">
        <v>0</v>
      </c>
      <c r="K243" s="0" t="n">
        <v>0.088785</v>
      </c>
      <c r="L243" s="0" t="n">
        <v>0.00969514831698458</v>
      </c>
      <c r="M243" s="1" t="n">
        <v>0.039324188884574</v>
      </c>
      <c r="N243" s="0" t="n">
        <v>0.176540252465557</v>
      </c>
      <c r="O243" s="0" t="n">
        <v>0.211287603476097</v>
      </c>
      <c r="P243" s="0" t="n">
        <v>0.16114732381802</v>
      </c>
      <c r="Q243" s="0" t="n">
        <v>0.216776439062425</v>
      </c>
      <c r="R243" s="11" t="n">
        <v>0.0775514321616</v>
      </c>
      <c r="S243" s="0" t="n">
        <v>0.0678562838446154</v>
      </c>
      <c r="T243" s="0" t="n">
        <v>0.0001368829030965</v>
      </c>
      <c r="U243" s="0" t="n">
        <v>0.0001790748570165</v>
      </c>
      <c r="V243" s="0" t="n">
        <v>0.0002511893966785</v>
      </c>
      <c r="Z243" s="1"/>
      <c r="AA243" s="1"/>
      <c r="AB243" s="11"/>
      <c r="AJ243" s="0" t="n">
        <v>2.78144525380575</v>
      </c>
      <c r="AK243" s="0" t="n">
        <v>0.0003078278130535</v>
      </c>
      <c r="AL243" s="0" t="n">
        <f aca="false">AK243-0.00004219195392</f>
        <v>0.0002656358591335</v>
      </c>
      <c r="AM243" s="0" t="n">
        <v>0.628180530183158</v>
      </c>
      <c r="AN243" s="0" t="n">
        <v>2.472061506052E-008</v>
      </c>
      <c r="AO243" s="0" t="n">
        <v>0.000136169352166</v>
      </c>
      <c r="AP243" s="0" t="n">
        <v>2.3477837461175</v>
      </c>
      <c r="AQ243" s="0" t="n">
        <v>0.0002933813505985</v>
      </c>
      <c r="AR243" s="0" t="n">
        <v>0.0002511893966785</v>
      </c>
      <c r="AS243" s="0" t="n">
        <v>0.596149158083066</v>
      </c>
      <c r="AT243" s="0" t="n">
        <v>1.1890192668217E-007</v>
      </c>
      <c r="AU243" s="3" t="n">
        <v>0.071607885133729</v>
      </c>
      <c r="AV243" s="0" t="n">
        <v>0.122412986044539</v>
      </c>
      <c r="AW243" s="0" t="n">
        <v>0</v>
      </c>
      <c r="AZ243" s="0" t="n">
        <v>0.271146732300942</v>
      </c>
      <c r="BA243" s="0" t="n">
        <v>0.249546732300942</v>
      </c>
      <c r="BC243" s="0" t="n">
        <v>0.18274732381802</v>
      </c>
      <c r="BD243" s="0" t="n">
        <v>0.16114732381802</v>
      </c>
      <c r="BE243" s="0" t="n">
        <v>0.102840386705829</v>
      </c>
      <c r="BF243" s="3" t="n">
        <v>0.059640386705829</v>
      </c>
      <c r="BG243" s="0" t="n">
        <v>0.052193992885357</v>
      </c>
      <c r="BH243" s="0" t="n">
        <f aca="false">M243/BG243</f>
        <v>0.75342365492038</v>
      </c>
      <c r="BI243" s="0" t="n">
        <v>1.66250236841201E-005</v>
      </c>
      <c r="BJ243" s="0" t="n">
        <v>0.575842564511585</v>
      </c>
      <c r="BK243" s="0" t="n">
        <v>0</v>
      </c>
      <c r="BL243" s="0" t="n">
        <v>0</v>
      </c>
      <c r="BM243" s="0" t="n">
        <v>0</v>
      </c>
      <c r="BN243" s="0" t="e">
        <f aca="false">#REF!/#REF!</f>
        <v>#REF!</v>
      </c>
      <c r="BO243" s="0" t="n">
        <v>0</v>
      </c>
    </row>
    <row r="244" customFormat="false" ht="12.8" hidden="false" customHeight="false" outlineLevel="0" collapsed="false">
      <c r="A244" s="0" t="s">
        <v>296</v>
      </c>
      <c r="B244" s="0" t="s">
        <v>111</v>
      </c>
      <c r="C244" s="0" t="s">
        <v>51</v>
      </c>
      <c r="D244" s="0" t="s">
        <v>187</v>
      </c>
      <c r="E244" s="0" t="n">
        <v>0.260225</v>
      </c>
      <c r="F244" s="0" t="n">
        <v>3.26175</v>
      </c>
      <c r="G244" s="0" t="n">
        <v>99</v>
      </c>
      <c r="H244" s="0" t="n">
        <v>73</v>
      </c>
      <c r="I244" s="0" t="s">
        <v>53</v>
      </c>
      <c r="J244" s="0" t="n">
        <v>0.0829952471</v>
      </c>
      <c r="K244" s="0" t="n">
        <v>0.047837</v>
      </c>
      <c r="L244" s="0" t="n">
        <v>0.00498196370981443</v>
      </c>
      <c r="M244" s="1" t="n">
        <v>0.058664213648692</v>
      </c>
      <c r="N244" s="0" t="n">
        <v>0.213103618078222</v>
      </c>
      <c r="O244" s="0" t="n">
        <v>0.23036400090902</v>
      </c>
      <c r="P244" s="0" t="n">
        <v>0.166038198496729</v>
      </c>
      <c r="Q244" s="0" t="n">
        <v>0.235901955804736</v>
      </c>
      <c r="R244" s="11" t="n">
        <v>0.0421255054025</v>
      </c>
      <c r="S244" s="0" t="n">
        <v>0.0371435416926856</v>
      </c>
      <c r="T244" s="0" t="n">
        <v>0.000241535272501</v>
      </c>
      <c r="U244" s="0" t="n">
        <v>0.000289224022501</v>
      </c>
      <c r="V244" s="0" t="n">
        <v>0.000181831707295</v>
      </c>
      <c r="Z244" s="1"/>
      <c r="AA244" s="1"/>
      <c r="AB244" s="11"/>
      <c r="AJ244" s="0" t="n">
        <v>-0.0768510504859234</v>
      </c>
      <c r="AK244" s="0" t="n">
        <v>0.000365229572621</v>
      </c>
      <c r="AL244" s="0" t="n">
        <f aca="false">AK244-0.00004768875</f>
        <v>0.000317540822621</v>
      </c>
      <c r="AM244" s="0" t="n">
        <v>-0.315582019902474</v>
      </c>
      <c r="AN244" s="0" t="n">
        <v>0.0728634490877158</v>
      </c>
      <c r="AO244" s="0" t="n">
        <v>0.000216538088103</v>
      </c>
      <c r="AP244" s="0" t="n">
        <v>-0.54566819954584</v>
      </c>
      <c r="AQ244" s="0" t="n">
        <v>0.000229520457295</v>
      </c>
      <c r="AR244" s="0" t="n">
        <v>0.000181831707295</v>
      </c>
      <c r="AS244" s="0" t="n">
        <v>0.516959605726402</v>
      </c>
      <c r="AT244" s="0" t="n">
        <v>0.150506356388709</v>
      </c>
      <c r="AU244" s="3" t="n">
        <v>0.059061922688181</v>
      </c>
      <c r="AV244" s="0" t="n">
        <v>0.0083923693626404</v>
      </c>
      <c r="AW244" s="0" t="n">
        <v>0.530767843786192</v>
      </c>
      <c r="AZ244" s="0" t="n">
        <v>0.219627373886437</v>
      </c>
      <c r="BA244" s="0" t="n">
        <v>0.197127373886437</v>
      </c>
      <c r="BC244" s="0" t="n">
        <v>0.188538198496729</v>
      </c>
      <c r="BD244" s="0" t="n">
        <v>0.166038198496729</v>
      </c>
      <c r="BE244" s="0" t="n">
        <v>0.0794795277610692</v>
      </c>
      <c r="BF244" s="3" t="n">
        <v>0.0344795277610692</v>
      </c>
      <c r="BG244" s="0" t="n">
        <v>0.0664036542727863</v>
      </c>
      <c r="BH244" s="0" t="n">
        <f aca="false">M244/BG244</f>
        <v>0.883448573593546</v>
      </c>
      <c r="BI244" s="0" t="n">
        <v>0.0292071100354148</v>
      </c>
      <c r="BJ244" s="0" t="n">
        <v>0.504947220139352</v>
      </c>
      <c r="BK244" s="0" t="n">
        <v>0.488130444768149</v>
      </c>
      <c r="BL244" s="0" t="n">
        <v>0.553267843786192</v>
      </c>
      <c r="BM244" s="0" t="n">
        <v>0.530767843786192</v>
      </c>
      <c r="BN244" s="0" t="e">
        <f aca="false">#REF!/#REF!</f>
        <v>#REF!</v>
      </c>
      <c r="BO244" s="0" t="e">
        <f aca="false">BN244-0.0225</f>
        <v>#REF!</v>
      </c>
    </row>
    <row r="245" customFormat="false" ht="12.8" hidden="false" customHeight="false" outlineLevel="0" collapsed="false">
      <c r="A245" s="0" t="s">
        <v>297</v>
      </c>
      <c r="B245" s="0" t="s">
        <v>111</v>
      </c>
      <c r="C245" s="0" t="s">
        <v>59</v>
      </c>
      <c r="D245" s="0" t="s">
        <v>187</v>
      </c>
      <c r="E245" s="0" t="n">
        <v>0.369525</v>
      </c>
      <c r="F245" s="0" t="n">
        <v>3.31775</v>
      </c>
      <c r="G245" s="0" t="n">
        <v>726</v>
      </c>
      <c r="H245" s="0" t="n">
        <v>676</v>
      </c>
      <c r="I245" s="0" t="s">
        <v>55</v>
      </c>
      <c r="J245" s="0" t="n">
        <v>0</v>
      </c>
      <c r="K245" s="0" t="n">
        <v>0.228012</v>
      </c>
      <c r="L245" s="0" t="n">
        <v>0.0322820319014626</v>
      </c>
      <c r="M245" s="1" t="n">
        <v>0.0409041611124762</v>
      </c>
      <c r="N245" s="0" t="n">
        <v>0.221366324337506</v>
      </c>
      <c r="O245" s="0" t="n">
        <v>0.345496123924169</v>
      </c>
      <c r="P245" s="0" t="n">
        <v>0.286624247996762</v>
      </c>
      <c r="Q245" s="0" t="n">
        <v>0.320961749387972</v>
      </c>
      <c r="R245" s="11" t="n">
        <v>0.30670325084</v>
      </c>
      <c r="S245" s="0" t="n">
        <v>0.274421218938537</v>
      </c>
      <c r="T245" s="0" t="n">
        <v>0.000203212680761</v>
      </c>
      <c r="U245" s="0" t="n">
        <v>0.000245404634681</v>
      </c>
      <c r="V245" s="0" t="n">
        <v>0.000274435029201</v>
      </c>
      <c r="Z245" s="1"/>
      <c r="AA245" s="1"/>
      <c r="AB245" s="11"/>
      <c r="AJ245" s="0" t="n">
        <v>2.43469395438201</v>
      </c>
      <c r="AK245" s="0" t="n">
        <v>0.000350042533898</v>
      </c>
      <c r="AL245" s="0" t="n">
        <f aca="false">AK245-0.00004219195392</f>
        <v>0.000307850579978</v>
      </c>
      <c r="AM245" s="0" t="n">
        <v>0.592522532757682</v>
      </c>
      <c r="AN245" s="0" t="n">
        <v>1.02872253856304E-020</v>
      </c>
      <c r="AO245" s="0" t="n">
        <v>0.000198975706168</v>
      </c>
      <c r="AP245" s="0" t="n">
        <v>2.02509595455581</v>
      </c>
      <c r="AQ245" s="0" t="n">
        <v>0.000316626983121</v>
      </c>
      <c r="AR245" s="0" t="n">
        <v>0.000274435029201</v>
      </c>
      <c r="AS245" s="0" t="n">
        <v>0.61311982368635</v>
      </c>
      <c r="AT245" s="0" t="n">
        <v>1.0261757E-013</v>
      </c>
      <c r="AU245" s="3" t="n">
        <v>0.120540337295121</v>
      </c>
      <c r="AV245" s="0" t="n">
        <v>0.256597568756661</v>
      </c>
      <c r="AW245" s="0" t="n">
        <v>0</v>
      </c>
      <c r="AZ245" s="0" t="n">
        <v>0.230668936710216</v>
      </c>
      <c r="BA245" s="0" t="n">
        <v>0.209068936710216</v>
      </c>
      <c r="BC245" s="0" t="n">
        <v>0.308224247996762</v>
      </c>
      <c r="BD245" s="0" t="n">
        <v>0.286624247996762</v>
      </c>
      <c r="BE245" s="0" t="n">
        <v>0.165758008607427</v>
      </c>
      <c r="BF245" s="3" t="n">
        <v>0.122558008607427</v>
      </c>
      <c r="BG245" s="0" t="n">
        <v>0.0544744484763613</v>
      </c>
      <c r="BH245" s="0" t="n">
        <f aca="false">M245/BG245</f>
        <v>0.750887108663912</v>
      </c>
      <c r="BI245" s="0" t="n">
        <v>1.18087193595537E-015</v>
      </c>
      <c r="BJ245" s="0" t="n">
        <v>0.527472658283262</v>
      </c>
      <c r="BK245" s="0" t="n">
        <v>0</v>
      </c>
      <c r="BL245" s="0" t="n">
        <v>0</v>
      </c>
      <c r="BM245" s="0" t="n">
        <v>0</v>
      </c>
      <c r="BN245" s="0" t="e">
        <f aca="false">#REF!/#REF!</f>
        <v>#REF!</v>
      </c>
      <c r="BO245" s="0" t="n">
        <v>0</v>
      </c>
    </row>
    <row r="246" customFormat="false" ht="12.8" hidden="false" customHeight="false" outlineLevel="0" collapsed="false">
      <c r="A246" s="0" t="s">
        <v>298</v>
      </c>
      <c r="B246" s="0" t="s">
        <v>111</v>
      </c>
      <c r="C246" s="21" t="s">
        <v>59</v>
      </c>
      <c r="D246" s="0" t="s">
        <v>187</v>
      </c>
      <c r="E246" s="0" t="n">
        <v>0.163775</v>
      </c>
      <c r="F246" s="0" t="n">
        <v>2.259</v>
      </c>
      <c r="G246" s="0" t="n">
        <v>195</v>
      </c>
      <c r="H246" s="0" t="n">
        <v>152</v>
      </c>
      <c r="I246" s="0" t="s">
        <v>53</v>
      </c>
      <c r="J246" s="0" t="n">
        <v>0</v>
      </c>
      <c r="K246" s="0" t="n">
        <v>0.161091</v>
      </c>
      <c r="L246" s="0" t="n">
        <v>0.00866803532534406</v>
      </c>
      <c r="M246" s="1" t="n">
        <v>0.056984475921626</v>
      </c>
      <c r="N246" s="0" t="n">
        <v>0.172905181006418</v>
      </c>
      <c r="O246" s="0" t="n">
        <v>0.300375312557798</v>
      </c>
      <c r="P246" s="0" t="n">
        <v>0.193842454038432</v>
      </c>
      <c r="Q246" s="0" t="n">
        <v>0.215196104428932</v>
      </c>
      <c r="R246" s="11" t="n">
        <v>0.105090832712</v>
      </c>
      <c r="S246" s="0" t="n">
        <v>0.0964227973866559</v>
      </c>
      <c r="T246" s="0" t="n">
        <v>0.000216438312862</v>
      </c>
      <c r="U246" s="0" t="n">
        <v>0.000258630266782</v>
      </c>
      <c r="V246" s="0" t="n">
        <v>0.000413012283425</v>
      </c>
      <c r="Z246" s="1"/>
      <c r="AA246" s="1"/>
      <c r="AB246" s="11"/>
      <c r="AJ246" s="0" t="n">
        <v>2.15240712822896</v>
      </c>
      <c r="AK246" s="0" t="n">
        <v>0.000456794049867</v>
      </c>
      <c r="AL246" s="0" t="n">
        <f aca="false">AK246-0.00004219195392</f>
        <v>0.000414602095947</v>
      </c>
      <c r="AM246" s="0" t="n">
        <v>1.16269032361335</v>
      </c>
      <c r="AN246" s="0" t="n">
        <v>1.46184271131898E-006</v>
      </c>
      <c r="AO246" s="0" t="n">
        <v>0.000216438312862</v>
      </c>
      <c r="AP246" s="0" t="n">
        <v>2.15240712822896</v>
      </c>
      <c r="AQ246" s="0" t="n">
        <v>0.000455204237345</v>
      </c>
      <c r="AR246" s="0" t="n">
        <v>0.000413012283425</v>
      </c>
      <c r="AS246" s="0" t="n">
        <v>1.03500460108463</v>
      </c>
      <c r="AT246" s="0" t="n">
        <v>8.17637997153237E-006</v>
      </c>
      <c r="AU246" s="3" t="n">
        <v>0.058426400292784</v>
      </c>
      <c r="AV246" s="0" t="n">
        <v>0.0162512086468533</v>
      </c>
      <c r="AW246" s="0" t="n">
        <v>0</v>
      </c>
      <c r="AZ246" s="0" t="n">
        <v>0.167070438508082</v>
      </c>
      <c r="BA246" s="0" t="n">
        <v>0.145470438508082</v>
      </c>
      <c r="BC246" s="0" t="n">
        <v>0.215442454038432</v>
      </c>
      <c r="BD246" s="0" t="n">
        <v>0.193842454038432</v>
      </c>
      <c r="BE246" s="0" t="n">
        <v>0.0867275284526504</v>
      </c>
      <c r="BF246" s="3" t="n">
        <v>0.0435275284526504</v>
      </c>
      <c r="BG246" s="0" t="n">
        <v>0.0697994557607342</v>
      </c>
      <c r="BH246" s="0" t="n">
        <f aca="false">M246/BG246</f>
        <v>0.816402868769683</v>
      </c>
      <c r="BI246" s="0" t="n">
        <v>0.000148536418525426</v>
      </c>
      <c r="BJ246" s="0" t="n">
        <v>0.446681779563235</v>
      </c>
      <c r="BK246" s="0" t="n">
        <v>0</v>
      </c>
      <c r="BL246" s="0" t="n">
        <v>0</v>
      </c>
      <c r="BM246" s="0" t="n">
        <v>0</v>
      </c>
      <c r="BN246" s="0" t="e">
        <f aca="false">#REF!/#REF!</f>
        <v>#REF!</v>
      </c>
      <c r="BO246" s="0" t="n">
        <v>0</v>
      </c>
    </row>
    <row r="247" customFormat="false" ht="12.8" hidden="false" customHeight="false" outlineLevel="0" collapsed="false">
      <c r="A247" s="0" t="s">
        <v>299</v>
      </c>
      <c r="B247" s="0" t="s">
        <v>111</v>
      </c>
      <c r="C247" s="21" t="s">
        <v>51</v>
      </c>
      <c r="D247" s="0" t="s">
        <v>187</v>
      </c>
      <c r="E247" s="0" t="n">
        <v>0.284725</v>
      </c>
      <c r="F247" s="0" t="n">
        <v>3.4365</v>
      </c>
      <c r="G247" s="0" t="n">
        <v>271</v>
      </c>
      <c r="H247" s="0" t="n">
        <v>234</v>
      </c>
      <c r="I247" s="0" t="s">
        <v>53</v>
      </c>
      <c r="J247" s="0" t="n">
        <v>0.0325202681</v>
      </c>
      <c r="K247" s="0" t="n">
        <v>0.116053</v>
      </c>
      <c r="L247" s="0" t="n">
        <v>0.0136407995035431</v>
      </c>
      <c r="M247" s="1" t="n">
        <v>0.0433984165841511</v>
      </c>
      <c r="N247" s="0" t="n">
        <v>0.220358875328948</v>
      </c>
      <c r="O247" s="0" t="n">
        <v>0.334180392802415</v>
      </c>
      <c r="P247" s="0" t="n">
        <v>0.228745651412299</v>
      </c>
      <c r="Q247" s="0" t="n">
        <v>0.220336905008806</v>
      </c>
      <c r="R247" s="11" t="n">
        <v>0.140174316475</v>
      </c>
      <c r="S247" s="0" t="n">
        <v>0.126533516971457</v>
      </c>
      <c r="T247" s="0" t="n">
        <v>0.000180648095309</v>
      </c>
      <c r="U247" s="0" t="n">
        <v>0.000228336845309</v>
      </c>
      <c r="V247" s="0" t="n">
        <v>0.000372725633511</v>
      </c>
      <c r="Z247" s="1"/>
      <c r="AA247" s="1"/>
      <c r="AB247" s="11"/>
      <c r="AJ247" s="0" t="n">
        <v>1.52288794201189</v>
      </c>
      <c r="AK247" s="0" t="n">
        <v>0.000422485589542</v>
      </c>
      <c r="AL247" s="0" t="n">
        <f aca="false">AK247-0.00004768875</f>
        <v>0.000374796839542</v>
      </c>
      <c r="AM247" s="0" t="n">
        <v>0.836109891121404</v>
      </c>
      <c r="AN247" s="0" t="n">
        <v>2.5321064492E-010</v>
      </c>
      <c r="AO247" s="0" t="n">
        <v>0.000178581781224</v>
      </c>
      <c r="AP247" s="0" t="n">
        <v>1.58732553492822</v>
      </c>
      <c r="AQ247" s="0" t="n">
        <v>0.000420414383511</v>
      </c>
      <c r="AR247" s="0" t="n">
        <v>0.000372725633511</v>
      </c>
      <c r="AS247" s="0" t="n">
        <v>0.873629310484264</v>
      </c>
      <c r="AT247" s="0" t="n">
        <v>3.583431601651E-008</v>
      </c>
      <c r="AU247" s="3" t="n">
        <v>0.088239346720512</v>
      </c>
      <c r="AV247" s="0" t="n">
        <v>0.0626472159532525</v>
      </c>
      <c r="AW247" s="0" t="n">
        <v>0.344861065981525</v>
      </c>
      <c r="AZ247" s="0" t="n">
        <v>0.30397119066091</v>
      </c>
      <c r="BA247" s="0" t="n">
        <v>0.28147119066091</v>
      </c>
      <c r="BC247" s="0" t="n">
        <v>0.251245651412299</v>
      </c>
      <c r="BD247" s="0" t="n">
        <v>0.228745651412299</v>
      </c>
      <c r="BE247" s="0" t="n">
        <v>0.127437342932532</v>
      </c>
      <c r="BF247" s="3" t="n">
        <v>0.082437342932532</v>
      </c>
      <c r="BG247" s="0" t="n">
        <v>0.0639766310183458</v>
      </c>
      <c r="BH247" s="0" t="n">
        <f aca="false">M247/BG247</f>
        <v>0.678347951327826</v>
      </c>
      <c r="BI247" s="0" t="n">
        <v>4.982473378E-011</v>
      </c>
      <c r="BJ247" s="0" t="n">
        <v>0.560353612830379</v>
      </c>
      <c r="BK247" s="0" t="n">
        <v>0.404527711546093</v>
      </c>
      <c r="BL247" s="0" t="n">
        <v>0.367361065981525</v>
      </c>
      <c r="BM247" s="0" t="n">
        <v>0.344861065981525</v>
      </c>
      <c r="BN247" s="0" t="e">
        <f aca="false">#REF!/#REF!</f>
        <v>#REF!</v>
      </c>
      <c r="BO247" s="0" t="e">
        <f aca="false">BN247-0.0225</f>
        <v>#REF!</v>
      </c>
    </row>
    <row r="248" customFormat="false" ht="12.8" hidden="false" customHeight="false" outlineLevel="0" collapsed="false">
      <c r="A248" s="0" t="s">
        <v>300</v>
      </c>
      <c r="B248" s="0" t="s">
        <v>111</v>
      </c>
      <c r="C248" s="0" t="s">
        <v>51</v>
      </c>
      <c r="D248" s="0" t="s">
        <v>187</v>
      </c>
      <c r="E248" s="0" t="n">
        <v>0.3073</v>
      </c>
      <c r="F248" s="0" t="n">
        <v>3.44075</v>
      </c>
      <c r="G248" s="0" t="n">
        <v>331</v>
      </c>
      <c r="H248" s="0" t="n">
        <v>276</v>
      </c>
      <c r="I248" s="0" t="s">
        <v>55</v>
      </c>
      <c r="J248" s="0" t="n">
        <v>0.0695359334</v>
      </c>
      <c r="K248" s="0" t="n">
        <v>0.096449</v>
      </c>
      <c r="L248" s="0" t="n">
        <v>0.0166638526413527</v>
      </c>
      <c r="M248" s="1" t="n">
        <v>0.0536641205169113</v>
      </c>
      <c r="N248" s="0" t="n">
        <v>0.261590555302903</v>
      </c>
      <c r="O248" s="0" t="n">
        <v>0.375745415823427</v>
      </c>
      <c r="P248" s="0" t="n">
        <v>0.278701359601393</v>
      </c>
      <c r="Q248" s="0" t="n">
        <v>0.415324377031543</v>
      </c>
      <c r="R248" s="11" t="n">
        <v>0.19823926915</v>
      </c>
      <c r="S248" s="0" t="n">
        <v>0.181575416508647</v>
      </c>
      <c r="T248" s="0" t="n">
        <v>0.000173466488905</v>
      </c>
      <c r="U248" s="0" t="n">
        <v>0.000221155238905</v>
      </c>
      <c r="V248" s="0" t="n">
        <v>0.000371175179352</v>
      </c>
      <c r="Z248" s="1"/>
      <c r="AA248" s="1"/>
      <c r="AB248" s="11"/>
      <c r="AJ248" s="0" t="n">
        <v>4.12941215139235</v>
      </c>
      <c r="AK248" s="0" t="n">
        <v>0.000521894123742</v>
      </c>
      <c r="AL248" s="0" t="n">
        <f aca="false">AK248-0.00004768875</f>
        <v>0.000474205373742</v>
      </c>
      <c r="AM248" s="0" t="n">
        <v>0.813770829175689</v>
      </c>
      <c r="AN248" s="0" t="n">
        <v>4.04196669E-012</v>
      </c>
      <c r="AO248" s="0" t="n">
        <v>0.0001691985968045</v>
      </c>
      <c r="AP248" s="0" t="n">
        <v>1.39130367804587</v>
      </c>
      <c r="AQ248" s="0" t="n">
        <v>0.000418863929352</v>
      </c>
      <c r="AR248" s="0" t="n">
        <v>0.000371175179352</v>
      </c>
      <c r="AS248" s="0" t="n">
        <v>1.0286125358799</v>
      </c>
      <c r="AT248" s="0" t="n">
        <v>6.95447040523E-009</v>
      </c>
      <c r="AU248" s="3" t="n">
        <v>0.087175349151851</v>
      </c>
      <c r="AV248" s="0" t="n">
        <v>2.6298051070607E-005</v>
      </c>
      <c r="AW248" s="0" t="n">
        <v>0.0746777426751741</v>
      </c>
      <c r="AZ248" s="0" t="n">
        <v>0.315699329129308</v>
      </c>
      <c r="BA248" s="0" t="n">
        <v>0.293199329129308</v>
      </c>
      <c r="BC248" s="0" t="n">
        <v>0.301201359601393</v>
      </c>
      <c r="BD248" s="0" t="n">
        <v>0.278701359601393</v>
      </c>
      <c r="BE248" s="0" t="n">
        <v>0.10975650641675</v>
      </c>
      <c r="BF248" s="3" t="n">
        <v>0.06475650641675</v>
      </c>
      <c r="BG248" s="0" t="n">
        <v>0.0813906737749169</v>
      </c>
      <c r="BH248" s="0" t="n">
        <f aca="false">M248/BG248</f>
        <v>0.659339922228898</v>
      </c>
      <c r="BI248" s="0" t="n">
        <v>1.5583902E-013</v>
      </c>
      <c r="BJ248" s="0" t="n">
        <v>0.392290677462802</v>
      </c>
      <c r="BK248" s="0" t="n">
        <v>0.0388867724354782</v>
      </c>
      <c r="BL248" s="0" t="n">
        <v>0.0971777426751741</v>
      </c>
      <c r="BM248" s="0" t="n">
        <v>0.0746777426751741</v>
      </c>
      <c r="BN248" s="0" t="e">
        <f aca="false">#REF!/#REF!</f>
        <v>#REF!</v>
      </c>
      <c r="BO248" s="0" t="e">
        <f aca="false">BN248-0.0225</f>
        <v>#REF!</v>
      </c>
    </row>
    <row r="249" customFormat="false" ht="12.8" hidden="false" customHeight="false" outlineLevel="0" collapsed="false">
      <c r="A249" s="0" t="s">
        <v>137</v>
      </c>
      <c r="B249" s="0" t="s">
        <v>111</v>
      </c>
      <c r="C249" s="21" t="s">
        <v>59</v>
      </c>
      <c r="D249" s="0" t="s">
        <v>187</v>
      </c>
      <c r="E249" s="0" t="n">
        <v>0.083055</v>
      </c>
      <c r="F249" s="0" t="n">
        <v>1.364</v>
      </c>
      <c r="G249" s="0" t="n">
        <v>76</v>
      </c>
      <c r="H249" s="0" t="n">
        <v>52</v>
      </c>
      <c r="I249" s="0" t="s">
        <v>53</v>
      </c>
      <c r="J249" s="0" t="n">
        <v>0</v>
      </c>
      <c r="K249" s="0" t="n">
        <v>0.060274</v>
      </c>
      <c r="L249" s="0" t="n">
        <v>0.00337892506929631</v>
      </c>
      <c r="M249" s="1" t="n">
        <v>0.058453034627328</v>
      </c>
      <c r="N249" s="0" t="n">
        <v>0.154809785122728</v>
      </c>
      <c r="O249" s="0" t="n">
        <v>0.187692877795146</v>
      </c>
      <c r="P249" s="0" t="n">
        <v>0.131475396713611</v>
      </c>
      <c r="Q249" s="0" t="n">
        <v>0.171533934693202</v>
      </c>
      <c r="R249" s="11" t="n">
        <v>0.028699294444</v>
      </c>
      <c r="S249" s="0" t="n">
        <v>0.0253203693747037</v>
      </c>
      <c r="T249" s="0" t="n">
        <v>0.000257581374647</v>
      </c>
      <c r="U249" s="0" t="n">
        <v>0.000299773328567</v>
      </c>
      <c r="V249" s="0" t="n">
        <v>0.000232943353857</v>
      </c>
      <c r="Z249" s="1"/>
      <c r="AA249" s="1"/>
      <c r="AB249" s="11"/>
      <c r="AJ249" s="0" t="n">
        <v>0.0448957434910654</v>
      </c>
      <c r="AK249" s="0" t="n">
        <v>0.000275135307777</v>
      </c>
      <c r="AL249" s="0" t="n">
        <f aca="false">AK249-0.00004219195392</f>
        <v>0.000232943353857</v>
      </c>
      <c r="AM249" s="0" t="n">
        <v>1.58496031124647</v>
      </c>
      <c r="AN249" s="0" t="n">
        <v>0.457553017210253</v>
      </c>
      <c r="AO249" s="0" t="n">
        <v>0.000257581374647</v>
      </c>
      <c r="AP249" s="0" t="n">
        <v>0.0448957434910654</v>
      </c>
      <c r="AQ249" s="0" t="n">
        <v>0.000275135307777</v>
      </c>
      <c r="AR249" s="0" t="n">
        <v>0.000232943353857</v>
      </c>
      <c r="AS249" s="0" t="n">
        <v>1.58496031124647</v>
      </c>
      <c r="AT249" s="0" t="n">
        <v>0.914285714285714</v>
      </c>
      <c r="AU249" s="3" t="n">
        <v>0.0408819462810254</v>
      </c>
      <c r="AV249" s="0" t="n">
        <v>0.207278976338613</v>
      </c>
      <c r="AW249" s="0" t="n">
        <v>0</v>
      </c>
      <c r="AZ249" s="0" t="n">
        <v>0.186381680743594</v>
      </c>
      <c r="BA249" s="0" t="n">
        <v>0.164781680743594</v>
      </c>
      <c r="BC249" s="0" t="n">
        <v>0.153075396713611</v>
      </c>
      <c r="BD249" s="0" t="n">
        <v>0.131475396713611</v>
      </c>
      <c r="BE249" s="0" t="n">
        <v>0.0770902701398397</v>
      </c>
      <c r="BF249" s="3" t="n">
        <v>0.0338902701398397</v>
      </c>
      <c r="BG249" s="0" t="n">
        <v>0.0608012167224542</v>
      </c>
      <c r="BH249" s="0" t="n">
        <f aca="false">M249/BG249</f>
        <v>0.961379356833512</v>
      </c>
      <c r="BI249" s="0" t="n">
        <v>0.380560831067604</v>
      </c>
      <c r="BJ249" s="0" t="n">
        <v>0.522430023461872</v>
      </c>
      <c r="BK249" s="0" t="n">
        <v>0</v>
      </c>
      <c r="BL249" s="0" t="n">
        <v>0</v>
      </c>
      <c r="BM249" s="0" t="n">
        <v>0</v>
      </c>
      <c r="BN249" s="0" t="e">
        <f aca="false">#REF!/#REF!</f>
        <v>#REF!</v>
      </c>
      <c r="BO249" s="0" t="n">
        <v>0</v>
      </c>
    </row>
    <row r="250" customFormat="false" ht="12.8" hidden="false" customHeight="false" outlineLevel="0" collapsed="false">
      <c r="A250" s="0" t="s">
        <v>138</v>
      </c>
      <c r="B250" s="0" t="s">
        <v>111</v>
      </c>
      <c r="C250" s="0" t="s">
        <v>59</v>
      </c>
      <c r="D250" s="0" t="s">
        <v>187</v>
      </c>
      <c r="E250" s="0" t="n">
        <v>0.111625</v>
      </c>
      <c r="F250" s="0" t="n">
        <v>1.5625</v>
      </c>
      <c r="G250" s="0" t="n">
        <v>152</v>
      </c>
      <c r="H250" s="0" t="n">
        <v>119</v>
      </c>
      <c r="I250" s="0" t="s">
        <v>53</v>
      </c>
      <c r="J250" s="0" t="n">
        <v>0</v>
      </c>
      <c r="K250" s="0" t="n">
        <v>0.038961</v>
      </c>
      <c r="L250" s="0" t="n">
        <v>0.0067635253809236</v>
      </c>
      <c r="M250" s="1" t="n">
        <v>0.0476613930703239</v>
      </c>
      <c r="N250" s="0" t="n">
        <v>0.209087658241282</v>
      </c>
      <c r="O250" s="0" t="n">
        <v>0.220354551169844</v>
      </c>
      <c r="P250" s="0" t="n">
        <v>0.156098039202427</v>
      </c>
      <c r="Q250" s="0" t="n">
        <v>0.227148950766346</v>
      </c>
      <c r="R250" s="11" t="n">
        <v>0.0683185066208</v>
      </c>
      <c r="S250" s="0" t="n">
        <v>0.0615549812398764</v>
      </c>
      <c r="T250" s="0" t="n">
        <v>0.0001995204228965</v>
      </c>
      <c r="U250" s="0" t="n">
        <v>0.0002417123768165</v>
      </c>
      <c r="V250" s="0" t="n">
        <v>0.000237565930372</v>
      </c>
      <c r="Z250" s="1"/>
      <c r="AA250" s="1"/>
      <c r="AB250" s="11"/>
      <c r="AJ250" s="0" t="n">
        <v>0.902257732178381</v>
      </c>
      <c r="AK250" s="0" t="n">
        <v>0.000304498742266</v>
      </c>
      <c r="AL250" s="0" t="n">
        <f aca="false">AK250-0.00004219195392</f>
        <v>0.000262306788346</v>
      </c>
      <c r="AM250" s="0" t="n">
        <v>0.977607087920299</v>
      </c>
      <c r="AN250" s="0" t="n">
        <v>0.0401023147475054</v>
      </c>
      <c r="AO250" s="0" t="n">
        <v>0.0001995204228965</v>
      </c>
      <c r="AP250" s="0" t="n">
        <v>0.902257732178381</v>
      </c>
      <c r="AQ250" s="0" t="n">
        <v>0.000279757884292</v>
      </c>
      <c r="AR250" s="0" t="n">
        <v>0.000237565930372</v>
      </c>
      <c r="AS250" s="0" t="n">
        <v>0.616477216382049</v>
      </c>
      <c r="AT250" s="0" t="n">
        <v>0.191688993194268</v>
      </c>
      <c r="AU250" s="3" t="n">
        <v>0.065835029398055</v>
      </c>
      <c r="AV250" s="0" t="n">
        <v>0.00610112724437122</v>
      </c>
      <c r="AW250" s="0" t="n">
        <v>0</v>
      </c>
      <c r="AZ250" s="0" t="n">
        <v>0.247568623211301</v>
      </c>
      <c r="BA250" s="0" t="n">
        <v>0.225968623211301</v>
      </c>
      <c r="BC250" s="0" t="n">
        <v>0.177698039202427</v>
      </c>
      <c r="BD250" s="0" t="n">
        <v>0.156098039202427</v>
      </c>
      <c r="BE250" s="0" t="n">
        <v>0.0935094370248576</v>
      </c>
      <c r="BF250" s="3" t="n">
        <v>0.0503094370248576</v>
      </c>
      <c r="BG250" s="0" t="n">
        <v>0.0601901662311554</v>
      </c>
      <c r="BH250" s="0" t="n">
        <f aca="false">M250/BG250</f>
        <v>0.791846842344383</v>
      </c>
      <c r="BI250" s="0" t="n">
        <v>0.00036349441231803</v>
      </c>
      <c r="BJ250" s="0" t="n">
        <v>0.514210740916026</v>
      </c>
      <c r="BK250" s="0" t="n">
        <v>0</v>
      </c>
      <c r="BL250" s="0" t="n">
        <v>0</v>
      </c>
      <c r="BM250" s="0" t="n">
        <v>0</v>
      </c>
      <c r="BN250" s="0" t="e">
        <f aca="false">#REF!/#REF!</f>
        <v>#REF!</v>
      </c>
      <c r="BO250" s="0" t="n">
        <v>0</v>
      </c>
    </row>
    <row r="251" customFormat="false" ht="12.8" hidden="false" customHeight="false" outlineLevel="0" collapsed="false">
      <c r="A251" s="0" t="s">
        <v>301</v>
      </c>
      <c r="B251" s="0" t="s">
        <v>111</v>
      </c>
      <c r="C251" s="0" t="s">
        <v>51</v>
      </c>
      <c r="D251" s="0" t="s">
        <v>187</v>
      </c>
      <c r="E251" s="0" t="n">
        <v>0.4313</v>
      </c>
      <c r="F251" s="0" t="n">
        <v>3.63625</v>
      </c>
      <c r="G251" s="0" t="n">
        <v>621</v>
      </c>
      <c r="H251" s="0" t="n">
        <v>570</v>
      </c>
      <c r="I251" s="0" t="s">
        <v>55</v>
      </c>
      <c r="J251" s="0" t="n">
        <v>0.0256943367</v>
      </c>
      <c r="K251" s="0" t="n">
        <v>0.110518</v>
      </c>
      <c r="L251" s="0" t="n">
        <v>0.0312667842650972</v>
      </c>
      <c r="M251" s="1" t="n">
        <v>0.0398860121326893</v>
      </c>
      <c r="N251" s="0" t="n">
        <v>0.255687598368234</v>
      </c>
      <c r="O251" s="0" t="n">
        <v>0.337678334584171</v>
      </c>
      <c r="P251" s="0" t="n">
        <v>0.270535066253192</v>
      </c>
      <c r="Q251" s="0" t="n">
        <v>0.327074391726374</v>
      </c>
      <c r="R251" s="11" t="n">
        <v>0.266422836825</v>
      </c>
      <c r="S251" s="0" t="n">
        <v>0.235156052559903</v>
      </c>
      <c r="T251" s="0" t="n">
        <v>0.000211735110982</v>
      </c>
      <c r="U251" s="0" t="n">
        <v>0.000259423860982</v>
      </c>
      <c r="V251" s="0" t="n">
        <v>0.0003033359111355</v>
      </c>
      <c r="Z251" s="1"/>
      <c r="AA251" s="1"/>
      <c r="AB251" s="11"/>
      <c r="AJ251" s="0" t="n">
        <v>1.76547347567517</v>
      </c>
      <c r="AK251" s="0" t="n">
        <v>0.000357970059475</v>
      </c>
      <c r="AL251" s="0" t="n">
        <f aca="false">AK251-0.00004768875</f>
        <v>0.000310281309475</v>
      </c>
      <c r="AM251" s="0" t="n">
        <v>0.729318251468295</v>
      </c>
      <c r="AN251" s="0" t="n">
        <v>2.739433334E-011</v>
      </c>
      <c r="AO251" s="0" t="n">
        <v>0.000211733103657</v>
      </c>
      <c r="AP251" s="0" t="n">
        <v>1.7512184173794</v>
      </c>
      <c r="AQ251" s="0" t="n">
        <v>0.0003510246611355</v>
      </c>
      <c r="AR251" s="0" t="n">
        <v>0.0003033359111355</v>
      </c>
      <c r="AS251" s="0" t="n">
        <v>0.776179250346677</v>
      </c>
      <c r="AT251" s="0" t="n">
        <v>6.1809169693E-010</v>
      </c>
      <c r="AU251" s="3" t="n">
        <v>0.09402520685969</v>
      </c>
      <c r="AV251" s="0" t="n">
        <v>0.00111690858512005</v>
      </c>
      <c r="AW251" s="0" t="n">
        <v>0.487729002820581</v>
      </c>
      <c r="AZ251" s="0" t="n">
        <v>0.322514207926328</v>
      </c>
      <c r="BA251" s="0" t="n">
        <v>0.300014207926328</v>
      </c>
      <c r="BC251" s="0" t="n">
        <v>0.293035066253192</v>
      </c>
      <c r="BD251" s="0" t="n">
        <v>0.270535066253192</v>
      </c>
      <c r="BE251" s="0" t="n">
        <v>0.15773984451863</v>
      </c>
      <c r="BF251" s="3" t="n">
        <v>0.11273984451863</v>
      </c>
      <c r="BG251" s="0" t="n">
        <v>0.0513298158267913</v>
      </c>
      <c r="BH251" s="0" t="n">
        <f aca="false">M251/BG251</f>
        <v>0.777053482273962</v>
      </c>
      <c r="BI251" s="0" t="n">
        <v>4.602681635E-011</v>
      </c>
      <c r="BJ251" s="0" t="n">
        <v>0.5424044708268</v>
      </c>
      <c r="BK251" s="0" t="n">
        <v>0.484736567719145</v>
      </c>
      <c r="BL251" s="0" t="n">
        <v>0.510229002820581</v>
      </c>
      <c r="BM251" s="0" t="n">
        <v>0.487729002820581</v>
      </c>
      <c r="BN251" s="0" t="e">
        <f aca="false">#REF!/#REF!</f>
        <v>#REF!</v>
      </c>
      <c r="BO251" s="0" t="e">
        <f aca="false">BN251-0.0225</f>
        <v>#REF!</v>
      </c>
    </row>
    <row r="252" customFormat="false" ht="12.8" hidden="false" customHeight="false" outlineLevel="0" collapsed="false">
      <c r="A252" s="0" t="s">
        <v>302</v>
      </c>
      <c r="B252" s="0" t="s">
        <v>111</v>
      </c>
      <c r="C252" s="0" t="s">
        <v>59</v>
      </c>
      <c r="D252" s="0" t="s">
        <v>187</v>
      </c>
      <c r="E252" s="0" t="n">
        <v>0.178525</v>
      </c>
      <c r="F252" s="0" t="n">
        <v>2.8105</v>
      </c>
      <c r="G252" s="0" t="n">
        <v>120</v>
      </c>
      <c r="H252" s="0" t="n">
        <v>89</v>
      </c>
      <c r="I252" s="0" t="s">
        <v>55</v>
      </c>
      <c r="J252" s="0" t="n">
        <v>0</v>
      </c>
      <c r="K252" s="0" t="n">
        <v>0.081214</v>
      </c>
      <c r="L252" s="0" t="n">
        <v>0.00533670371512114</v>
      </c>
      <c r="M252" s="1" t="n">
        <v>0.07975884591255</v>
      </c>
      <c r="N252" s="0" t="n">
        <v>0.181691698864086</v>
      </c>
      <c r="O252" s="0" t="n">
        <v>0.429770349097438</v>
      </c>
      <c r="P252" s="0" t="n">
        <v>0.242600998449723</v>
      </c>
      <c r="Q252" s="0" t="n">
        <v>0.18670032124972</v>
      </c>
      <c r="R252" s="11" t="n">
        <v>0.07187130612</v>
      </c>
      <c r="S252" s="0" t="n">
        <v>0.0665346024048789</v>
      </c>
      <c r="T252" s="0" t="n">
        <v>0.000351326061368</v>
      </c>
      <c r="U252" s="0" t="n">
        <v>0.000393518015288</v>
      </c>
      <c r="V252" s="0" t="n">
        <v>0.000338189437335</v>
      </c>
      <c r="Z252" s="1"/>
      <c r="AA252" s="1"/>
      <c r="AB252" s="11"/>
      <c r="AJ252" s="0" t="n">
        <v>-0.379681178090588</v>
      </c>
      <c r="AK252" s="0" t="n">
        <v>0.00040134889997</v>
      </c>
      <c r="AL252" s="0" t="n">
        <f aca="false">AK252-0.00004219195392</f>
        <v>0.00035915694605</v>
      </c>
      <c r="AM252" s="0" t="n">
        <v>-0.0301592550374343</v>
      </c>
      <c r="AN252" s="0" t="n">
        <v>0.386289545361756</v>
      </c>
      <c r="AO252" s="0" t="n">
        <v>0.000334815202809</v>
      </c>
      <c r="AP252" s="0" t="n">
        <v>-0.41667108463026</v>
      </c>
      <c r="AQ252" s="0" t="n">
        <v>0.000380381391255</v>
      </c>
      <c r="AR252" s="0" t="n">
        <v>0.000338189437335</v>
      </c>
      <c r="AS252" s="0" t="n">
        <v>0.101479285145545</v>
      </c>
      <c r="AT252" s="0" t="n">
        <v>0.30969030969031</v>
      </c>
      <c r="AU252" s="3" t="n">
        <v>0.0557094605631284</v>
      </c>
      <c r="AV252" s="0" t="n">
        <v>0.0454903328837443</v>
      </c>
      <c r="AW252" s="0" t="n">
        <v>0</v>
      </c>
      <c r="AZ252" s="0" t="n">
        <v>0.263103021544811</v>
      </c>
      <c r="BA252" s="0" t="n">
        <v>0.241503021544811</v>
      </c>
      <c r="BC252" s="0" t="n">
        <v>0.264200998449723</v>
      </c>
      <c r="BD252" s="0" t="n">
        <v>0.242600998449723</v>
      </c>
      <c r="BE252" s="0" t="n">
        <v>0.0898466164057209</v>
      </c>
      <c r="BF252" s="3" t="n">
        <v>0.0466466164057209</v>
      </c>
      <c r="BG252" s="0" t="n">
        <v>0.0966913467672643</v>
      </c>
      <c r="BH252" s="0" t="n">
        <f aca="false">M252/BG252</f>
        <v>0.824880907952696</v>
      </c>
      <c r="BI252" s="0" t="n">
        <v>0.0140759404167696</v>
      </c>
      <c r="BJ252" s="0" t="n">
        <v>0.384903416325241</v>
      </c>
      <c r="BK252" s="0" t="n">
        <v>0</v>
      </c>
      <c r="BL252" s="0" t="n">
        <v>0</v>
      </c>
      <c r="BM252" s="0" t="n">
        <v>0</v>
      </c>
      <c r="BN252" s="0" t="e">
        <f aca="false">#REF!/#REF!</f>
        <v>#REF!</v>
      </c>
      <c r="BO252" s="0" t="n">
        <v>0</v>
      </c>
    </row>
    <row r="253" customFormat="false" ht="12.8" hidden="false" customHeight="false" outlineLevel="0" collapsed="false">
      <c r="A253" s="0" t="s">
        <v>303</v>
      </c>
      <c r="B253" s="0" t="s">
        <v>111</v>
      </c>
      <c r="C253" s="0" t="s">
        <v>51</v>
      </c>
      <c r="D253" s="0" t="s">
        <v>187</v>
      </c>
      <c r="E253" s="0" t="n">
        <v>0.301225</v>
      </c>
      <c r="F253" s="0" t="n">
        <v>3.121</v>
      </c>
      <c r="G253" s="0" t="n">
        <v>383</v>
      </c>
      <c r="H253" s="0" t="n">
        <v>331</v>
      </c>
      <c r="I253" s="0" t="s">
        <v>55</v>
      </c>
      <c r="J253" s="0" t="n">
        <v>0.0662895441</v>
      </c>
      <c r="K253" s="0" t="n">
        <v>0.212605</v>
      </c>
      <c r="L253" s="0" t="n">
        <v>0.0192912645248689</v>
      </c>
      <c r="M253" s="1" t="n">
        <v>0.0459641458294152</v>
      </c>
      <c r="N253" s="0" t="n">
        <v>0.183464509971212</v>
      </c>
      <c r="O253" s="0" t="n">
        <v>0.348646481983771</v>
      </c>
      <c r="P253" s="0" t="n">
        <v>0.275557467676232</v>
      </c>
      <c r="Q253" s="0" t="n">
        <v>0.223413653033741</v>
      </c>
      <c r="R253" s="11" t="n">
        <v>0.1616608767</v>
      </c>
      <c r="S253" s="0" t="n">
        <v>0.142369612175131</v>
      </c>
      <c r="T253" s="0" t="n">
        <v>0.0001919716474105</v>
      </c>
      <c r="U253" s="0" t="n">
        <v>0.0002396603974105</v>
      </c>
      <c r="V253" s="0" t="n">
        <v>0.000242666196506</v>
      </c>
      <c r="Z253" s="1"/>
      <c r="AA253" s="1"/>
      <c r="AB253" s="11"/>
      <c r="AJ253" s="0" t="n">
        <v>0.965210867572133</v>
      </c>
      <c r="AK253" s="0" t="n">
        <v>0.000301871428209</v>
      </c>
      <c r="AL253" s="0" t="n">
        <f aca="false">AK253-0.00004768875</f>
        <v>0.000254182678209</v>
      </c>
      <c r="AM253" s="0" t="n">
        <v>0.753559145382241</v>
      </c>
      <c r="AN253" s="0" t="n">
        <v>0.0120272373796946</v>
      </c>
      <c r="AO253" s="0" t="n">
        <v>0.0001919716474105</v>
      </c>
      <c r="AP253" s="0" t="n">
        <v>0.965210867572133</v>
      </c>
      <c r="AQ253" s="0" t="n">
        <v>0.000290354946506</v>
      </c>
      <c r="AR253" s="0" t="n">
        <v>0.000242666196506</v>
      </c>
      <c r="AS253" s="0" t="n">
        <v>0.703476119695181</v>
      </c>
      <c r="AT253" s="0" t="n">
        <v>0.0342931554400615</v>
      </c>
      <c r="AU253" s="3" t="n">
        <v>0.066999133161622</v>
      </c>
      <c r="AV253" s="0" t="n">
        <v>0.203623186536975</v>
      </c>
      <c r="AW253" s="0" t="n">
        <v>0.0765632833242912</v>
      </c>
      <c r="AZ253" s="0" t="n">
        <v>0.272259234161652</v>
      </c>
      <c r="BA253" s="0" t="n">
        <v>0.249759234161652</v>
      </c>
      <c r="BC253" s="0" t="n">
        <v>0.298057467676232</v>
      </c>
      <c r="BD253" s="0" t="n">
        <v>0.275557467676232</v>
      </c>
      <c r="BE253" s="0" t="n">
        <v>0.118103308144633</v>
      </c>
      <c r="BF253" s="3" t="n">
        <v>0.073103308144633</v>
      </c>
      <c r="BG253" s="0" t="n">
        <v>0.0562840876475502</v>
      </c>
      <c r="BH253" s="0" t="n">
        <f aca="false">M253/BG253</f>
        <v>0.816645480997076</v>
      </c>
      <c r="BI253" s="0" t="n">
        <v>0.00239106708766067</v>
      </c>
      <c r="BJ253" s="0" t="n">
        <v>0.39935508963777</v>
      </c>
      <c r="BK253" s="0" t="n">
        <v>0.0303546155592043</v>
      </c>
      <c r="BL253" s="0" t="n">
        <v>0.0990632833242912</v>
      </c>
      <c r="BM253" s="0" t="n">
        <v>0.0765632833242912</v>
      </c>
      <c r="BN253" s="0" t="e">
        <f aca="false">#REF!/#REF!</f>
        <v>#REF!</v>
      </c>
      <c r="BO253" s="0" t="e">
        <f aca="false">BN253-0.0225</f>
        <v>#REF!</v>
      </c>
    </row>
    <row r="254" customFormat="false" ht="12.8" hidden="false" customHeight="false" outlineLevel="0" collapsed="false">
      <c r="A254" s="0" t="s">
        <v>304</v>
      </c>
      <c r="B254" s="0" t="s">
        <v>111</v>
      </c>
      <c r="C254" s="0" t="s">
        <v>51</v>
      </c>
      <c r="D254" s="0" t="s">
        <v>187</v>
      </c>
      <c r="E254" s="0" t="n">
        <v>0.48575</v>
      </c>
      <c r="F254" s="0" t="n">
        <v>4.0285</v>
      </c>
      <c r="G254" s="0" t="n">
        <v>475</v>
      </c>
      <c r="H254" s="0" t="n">
        <v>437</v>
      </c>
      <c r="I254" s="0" t="s">
        <v>53</v>
      </c>
      <c r="J254" s="0" t="n">
        <v>0.0841472745</v>
      </c>
      <c r="K254" s="0" t="n">
        <v>0.23629</v>
      </c>
      <c r="L254" s="0" t="n">
        <v>0.0239213339825726</v>
      </c>
      <c r="M254" s="1" t="n">
        <v>0.0454429963713393</v>
      </c>
      <c r="N254" s="0" t="n">
        <v>0.235495005614904</v>
      </c>
      <c r="O254" s="0" t="n">
        <v>0.311414668828947</v>
      </c>
      <c r="P254" s="0" t="n">
        <v>0.25857270289396</v>
      </c>
      <c r="Q254" s="0" t="n">
        <v>0.282069925311574</v>
      </c>
      <c r="R254" s="11" t="n">
        <v>0.269788161725</v>
      </c>
      <c r="S254" s="0" t="n">
        <v>0.245866827742427</v>
      </c>
      <c r="T254" s="0" t="n">
        <v>0.000241276160119</v>
      </c>
      <c r="U254" s="0" t="n">
        <v>0.000288964910119</v>
      </c>
      <c r="V254" s="0" t="n">
        <v>0.000416519506827</v>
      </c>
      <c r="Z254" s="1"/>
      <c r="AA254" s="1"/>
      <c r="AB254" s="11"/>
      <c r="AJ254" s="0" t="n">
        <v>1.21166935841069</v>
      </c>
      <c r="AK254" s="0" t="n">
        <v>0.0004876475613475</v>
      </c>
      <c r="AL254" s="0" t="n">
        <f aca="false">AK254-0.00004768875</f>
        <v>0.0004399588113475</v>
      </c>
      <c r="AM254" s="0" t="n">
        <v>0.497203286453431</v>
      </c>
      <c r="AN254" s="0" t="n">
        <v>9.09071542465622E-021</v>
      </c>
      <c r="AO254" s="0" t="n">
        <v>0.000238359299368</v>
      </c>
      <c r="AP254" s="0" t="n">
        <v>1.13863525814813</v>
      </c>
      <c r="AQ254" s="0" t="n">
        <v>0.000464208256827</v>
      </c>
      <c r="AR254" s="0" t="n">
        <v>0.000416519506827</v>
      </c>
      <c r="AS254" s="0" t="n">
        <v>0.56590354772206</v>
      </c>
      <c r="AT254" s="0" t="n">
        <v>1.87186969002746E-020</v>
      </c>
      <c r="AU254" s="3" t="n">
        <v>0.121361164430889</v>
      </c>
      <c r="AV254" s="0" t="n">
        <v>0.0121151358497214</v>
      </c>
      <c r="AW254" s="0" t="n">
        <v>0.154625182447804</v>
      </c>
      <c r="AZ254" s="0" t="n">
        <v>0.3069373621549</v>
      </c>
      <c r="BA254" s="0" t="n">
        <v>0.2844373621549</v>
      </c>
      <c r="BC254" s="0" t="n">
        <v>0.28107270289396</v>
      </c>
      <c r="BD254" s="0" t="n">
        <v>0.25857270289396</v>
      </c>
      <c r="BE254" s="0" t="n">
        <v>0.182188002730684</v>
      </c>
      <c r="BF254" s="3" t="n">
        <v>0.137188002730684</v>
      </c>
      <c r="BG254" s="0" t="n">
        <v>0.064345418359947</v>
      </c>
      <c r="BH254" s="0" t="n">
        <f aca="false">M254/BG254</f>
        <v>0.706235152860955</v>
      </c>
      <c r="BI254" s="0" t="n">
        <v>2.55912345937513E-016</v>
      </c>
      <c r="BJ254" s="0" t="n">
        <v>0.653350158855053</v>
      </c>
      <c r="BK254" s="0" t="n">
        <v>0.14923716448096</v>
      </c>
      <c r="BL254" s="0" t="n">
        <v>0.177125182447804</v>
      </c>
      <c r="BM254" s="0" t="n">
        <v>0.154625182447804</v>
      </c>
      <c r="BN254" s="0" t="e">
        <f aca="false">#REF!/#REF!</f>
        <v>#REF!</v>
      </c>
      <c r="BO254" s="0" t="e">
        <f aca="false">BN254-0.0225</f>
        <v>#REF!</v>
      </c>
    </row>
    <row r="255" customFormat="false" ht="12.8" hidden="false" customHeight="false" outlineLevel="0" collapsed="false">
      <c r="A255" s="0" t="s">
        <v>305</v>
      </c>
      <c r="B255" s="0" t="s">
        <v>111</v>
      </c>
      <c r="C255" s="0" t="s">
        <v>51</v>
      </c>
      <c r="D255" s="0" t="s">
        <v>187</v>
      </c>
      <c r="E255" s="0" t="n">
        <v>0.131225</v>
      </c>
      <c r="F255" s="0" t="n">
        <v>1.8065</v>
      </c>
      <c r="G255" s="0" t="n">
        <v>74</v>
      </c>
      <c r="H255" s="0" t="n">
        <v>49</v>
      </c>
      <c r="I255" s="0" t="s">
        <v>53</v>
      </c>
      <c r="J255" s="0" t="n">
        <v>0.0345574245</v>
      </c>
      <c r="K255" s="0" t="n">
        <v>0.047921</v>
      </c>
      <c r="L255" s="0" t="n">
        <v>0.00372353904323753</v>
      </c>
      <c r="M255" s="1" t="n">
        <v>0.080479328447239</v>
      </c>
      <c r="N255" s="0" t="n">
        <v>0.219662422363909</v>
      </c>
      <c r="O255" s="0" t="n">
        <v>0.260015887443845</v>
      </c>
      <c r="P255" s="0" t="n">
        <v>0.198637012492629</v>
      </c>
      <c r="Q255" s="0" t="n">
        <v>0.217138637929295</v>
      </c>
      <c r="R255" s="11" t="n">
        <v>0.0400720442225</v>
      </c>
      <c r="S255" s="0" t="n">
        <v>0.0363485051792625</v>
      </c>
      <c r="T255" s="0" t="n">
        <v>0.000335650055634953</v>
      </c>
      <c r="U255" s="0" t="n">
        <v>0.000383338805634953</v>
      </c>
      <c r="V255" s="0" t="n">
        <v>0</v>
      </c>
      <c r="Z255" s="1"/>
      <c r="AA255" s="1"/>
      <c r="AB255" s="11"/>
      <c r="AJ255" s="0" t="n">
        <v>0</v>
      </c>
      <c r="AK255" s="0" t="n">
        <v>0</v>
      </c>
      <c r="AL255" s="0" t="n">
        <f aca="false">AK255-0.00004768875</f>
        <v>-4.768875E-005</v>
      </c>
      <c r="AM255" s="0" t="n">
        <v>100</v>
      </c>
      <c r="AN255" s="0" t="n">
        <v>0</v>
      </c>
      <c r="AO255" s="0" t="n">
        <v>0.0003356500556345</v>
      </c>
      <c r="AP255" s="0" t="n">
        <v>100</v>
      </c>
      <c r="AQ255" s="0" t="n">
        <v>0</v>
      </c>
      <c r="AR255" s="0" t="n">
        <v>-4.768875E-005</v>
      </c>
      <c r="AS255" s="0" t="n">
        <v>100</v>
      </c>
      <c r="AT255" s="0" t="n">
        <v>0</v>
      </c>
      <c r="AU255" s="3" t="n">
        <v>0.05299992689192</v>
      </c>
      <c r="AV255" s="0" t="n">
        <v>0.00952070072019957</v>
      </c>
      <c r="AW255" s="0" t="n">
        <v>0.0693278992618795</v>
      </c>
      <c r="AZ255" s="0" t="n">
        <v>0.278298033099889</v>
      </c>
      <c r="BA255" s="0" t="n">
        <v>0.255798033099889</v>
      </c>
      <c r="BC255" s="0" t="n">
        <v>0.221137012492629</v>
      </c>
      <c r="BD255" s="0" t="n">
        <v>0.198637012492629</v>
      </c>
      <c r="BE255" s="0" t="n">
        <v>0.0796471293293659</v>
      </c>
      <c r="BF255" s="3" t="n">
        <v>0.0346471293293659</v>
      </c>
      <c r="BG255" s="0" t="n">
        <v>0.0843528966395515</v>
      </c>
      <c r="BH255" s="0" t="n">
        <f aca="false">M255/BG255</f>
        <v>0.954079013920949</v>
      </c>
      <c r="BI255" s="0" t="n">
        <v>0.149782086362841</v>
      </c>
      <c r="BJ255" s="0" t="n">
        <v>0.382393895328211</v>
      </c>
      <c r="BK255" s="0" t="n">
        <v>0.0597181428755751</v>
      </c>
      <c r="BL255" s="0" t="n">
        <v>0.0918278992618795</v>
      </c>
      <c r="BM255" s="0" t="n">
        <v>0.0693278992618795</v>
      </c>
      <c r="BN255" s="0" t="e">
        <f aca="false">#REF!/#REF!</f>
        <v>#REF!</v>
      </c>
      <c r="BO255" s="0" t="e">
        <f aca="false">BN255-0.0225</f>
        <v>#REF!</v>
      </c>
    </row>
    <row r="256" customFormat="false" ht="12.8" hidden="false" customHeight="false" outlineLevel="0" collapsed="false">
      <c r="A256" s="0" t="s">
        <v>306</v>
      </c>
      <c r="B256" s="0" t="s">
        <v>111</v>
      </c>
      <c r="C256" s="0" t="s">
        <v>51</v>
      </c>
      <c r="D256" s="0" t="s">
        <v>187</v>
      </c>
      <c r="E256" s="0" t="n">
        <v>0.283</v>
      </c>
      <c r="F256" s="0" t="n">
        <v>3.346</v>
      </c>
      <c r="G256" s="0" t="n">
        <v>116</v>
      </c>
      <c r="H256" s="0" t="n">
        <v>88</v>
      </c>
      <c r="I256" s="0" t="s">
        <v>53</v>
      </c>
      <c r="J256" s="0" t="n">
        <v>0.0953150541</v>
      </c>
      <c r="K256" s="0" t="n">
        <v>0.058518</v>
      </c>
      <c r="L256" s="0" t="n">
        <v>0.00573784820002433</v>
      </c>
      <c r="M256" s="1" t="n">
        <v>0.068933571953099</v>
      </c>
      <c r="N256" s="0" t="n">
        <v>0.300543107624661</v>
      </c>
      <c r="O256" s="0" t="n">
        <v>0.294751388167624</v>
      </c>
      <c r="P256" s="0" t="n">
        <v>0.191603492785165</v>
      </c>
      <c r="Q256" s="0" t="n">
        <v>0.306065146698353</v>
      </c>
      <c r="R256" s="11" t="n">
        <v>0.08415717445</v>
      </c>
      <c r="S256" s="0" t="n">
        <v>0.0784193262499757</v>
      </c>
      <c r="T256" s="0" t="n">
        <v>0.000208011754327</v>
      </c>
      <c r="U256" s="0" t="n">
        <v>0.000255700504327</v>
      </c>
      <c r="V256" s="0" t="n">
        <v>0.0004569837836635</v>
      </c>
      <c r="Z256" s="1"/>
      <c r="AA256" s="1"/>
      <c r="AB256" s="11"/>
      <c r="AJ256" s="0" t="n">
        <v>1.42297851223072</v>
      </c>
      <c r="AK256" s="0" t="n">
        <v>0.00057621525166</v>
      </c>
      <c r="AL256" s="0" t="n">
        <f aca="false">AK256-0.00004768875</f>
        <v>0.00052852650166</v>
      </c>
      <c r="AM256" s="0" t="n">
        <v>0.422570365698062</v>
      </c>
      <c r="AN256" s="0" t="n">
        <v>0.00123967565810694</v>
      </c>
      <c r="AO256" s="0" t="n">
        <v>0.000204411085283</v>
      </c>
      <c r="AP256" s="0" t="n">
        <v>1.42777248162566</v>
      </c>
      <c r="AQ256" s="0" t="n">
        <v>0.0005046725336635</v>
      </c>
      <c r="AR256" s="0" t="n">
        <v>0.0004569837836635</v>
      </c>
      <c r="AS256" s="0" t="n">
        <v>-0.061212737509855</v>
      </c>
      <c r="AT256" s="0" t="n">
        <v>0.0307692307692308</v>
      </c>
      <c r="AU256" s="3" t="n">
        <v>0.062383838249833</v>
      </c>
      <c r="AV256" s="0" t="n">
        <v>0.151928699219219</v>
      </c>
      <c r="AW256" s="0" t="n">
        <v>0.098104824449971</v>
      </c>
      <c r="AZ256" s="0" t="n">
        <v>0.391555698684342</v>
      </c>
      <c r="BA256" s="0" t="n">
        <v>0.369055698684342</v>
      </c>
      <c r="BC256" s="0" t="n">
        <v>0.214103492785165</v>
      </c>
      <c r="BD256" s="0" t="n">
        <v>0.191603492785165</v>
      </c>
      <c r="BE256" s="0" t="n">
        <v>0.108548940687929</v>
      </c>
      <c r="BF256" s="3" t="n">
        <v>0.063548940687929</v>
      </c>
      <c r="BG256" s="0" t="n">
        <v>0.0890264808850231</v>
      </c>
      <c r="BH256" s="0" t="n">
        <f aca="false">M256/BG256</f>
        <v>0.774304131398006</v>
      </c>
      <c r="BI256" s="0" t="n">
        <v>0.000240453420750824</v>
      </c>
      <c r="BJ256" s="0" t="n">
        <v>0.580203836802895</v>
      </c>
      <c r="BK256" s="0" t="n">
        <v>0.108057297940359</v>
      </c>
      <c r="BL256" s="0" t="n">
        <v>0.120604824449971</v>
      </c>
      <c r="BM256" s="0" t="n">
        <v>0.098104824449971</v>
      </c>
      <c r="BN256" s="0" t="e">
        <f aca="false">#REF!/#REF!</f>
        <v>#REF!</v>
      </c>
      <c r="BO256" s="0" t="e">
        <f aca="false">BN256-0.0225</f>
        <v>#REF!</v>
      </c>
    </row>
    <row r="257" customFormat="false" ht="12.8" hidden="false" customHeight="false" outlineLevel="0" collapsed="false">
      <c r="A257" s="0" t="s">
        <v>307</v>
      </c>
      <c r="B257" s="0" t="s">
        <v>111</v>
      </c>
      <c r="C257" s="0" t="s">
        <v>51</v>
      </c>
      <c r="D257" s="0" t="s">
        <v>187</v>
      </c>
      <c r="E257" s="0" t="n">
        <v>0.0997125</v>
      </c>
      <c r="F257" s="0" t="n">
        <v>1.32525</v>
      </c>
      <c r="G257" s="0" t="n">
        <v>43</v>
      </c>
      <c r="H257" s="0" t="n">
        <v>23</v>
      </c>
      <c r="I257" s="0" t="s">
        <v>53</v>
      </c>
      <c r="J257" s="0" t="n">
        <v>0.0311577674</v>
      </c>
      <c r="K257" s="0" t="n">
        <v>0.016168</v>
      </c>
      <c r="L257" s="0" t="n">
        <v>0.00216526815763904</v>
      </c>
      <c r="M257" s="1" t="n">
        <v>0.097469370336571</v>
      </c>
      <c r="N257" s="0" t="n">
        <v>0.21462288876983</v>
      </c>
      <c r="O257" s="0" t="n">
        <v>0.290425254827407</v>
      </c>
      <c r="P257" s="0" t="n">
        <v>0.186335979585508</v>
      </c>
      <c r="Q257" s="0" t="n">
        <v>0.191839719746429</v>
      </c>
      <c r="R257" s="11" t="n">
        <v>0.03165433948</v>
      </c>
      <c r="S257" s="0" t="n">
        <v>0.029489071322361</v>
      </c>
      <c r="T257" s="0" t="n">
        <v>-4.768875E-005</v>
      </c>
      <c r="U257" s="0" t="n">
        <v>0</v>
      </c>
      <c r="V257" s="0" t="n">
        <v>0</v>
      </c>
      <c r="Z257" s="1"/>
      <c r="AA257" s="1"/>
      <c r="AB257" s="11"/>
      <c r="AJ257" s="0" t="n">
        <v>100</v>
      </c>
      <c r="AK257" s="0" t="n">
        <v>0</v>
      </c>
      <c r="AL257" s="0" t="n">
        <f aca="false">AK257-0.00004768875</f>
        <v>-4.768875E-005</v>
      </c>
      <c r="AM257" s="0" t="n">
        <v>100</v>
      </c>
      <c r="AN257" s="0" t="n">
        <v>0</v>
      </c>
      <c r="AO257" s="0" t="n">
        <v>-4.768875E-005</v>
      </c>
      <c r="AP257" s="0" t="n">
        <v>100</v>
      </c>
      <c r="AQ257" s="0" t="n">
        <v>0</v>
      </c>
      <c r="AR257" s="0" t="n">
        <v>-4.768875E-005</v>
      </c>
      <c r="AS257" s="0" t="n">
        <v>100</v>
      </c>
      <c r="AT257" s="0" t="n">
        <v>0</v>
      </c>
      <c r="AU257" s="3" t="n">
        <v>0.041400408267311</v>
      </c>
      <c r="AV257" s="0" t="n">
        <v>0.00783289900243494</v>
      </c>
      <c r="AW257" s="0" t="n">
        <v>0.0487953065434761</v>
      </c>
      <c r="AZ257" s="0" t="n">
        <v>0.291478386375773</v>
      </c>
      <c r="BA257" s="0" t="n">
        <v>0.268978386375773</v>
      </c>
      <c r="BC257" s="0" t="n">
        <v>0.208835979585508</v>
      </c>
      <c r="BD257" s="0" t="n">
        <v>0.186335979585508</v>
      </c>
      <c r="BE257" s="0" t="n">
        <v>0.0694673005646262</v>
      </c>
      <c r="BF257" s="3" t="n">
        <v>0.0244673005646262</v>
      </c>
      <c r="BG257" s="0" t="n">
        <v>0.112481429203742</v>
      </c>
      <c r="BH257" s="0" t="n">
        <f aca="false">M257/BG257</f>
        <v>0.866537445572646</v>
      </c>
      <c r="BI257" s="0" t="n">
        <v>0.131677649339909</v>
      </c>
      <c r="BJ257" s="0" t="n">
        <v>0.397209994237042</v>
      </c>
      <c r="BK257" s="0" t="n">
        <v>0.0226983596774206</v>
      </c>
      <c r="BL257" s="0" t="n">
        <v>0.0712953065434761</v>
      </c>
      <c r="BM257" s="0" t="n">
        <v>0.0487953065434761</v>
      </c>
      <c r="BN257" s="0" t="e">
        <f aca="false">#REF!/#REF!</f>
        <v>#REF!</v>
      </c>
      <c r="BO257" s="0" t="e">
        <f aca="false">BN257-0.0225</f>
        <v>#REF!</v>
      </c>
    </row>
    <row r="258" customFormat="false" ht="12.8" hidden="false" customHeight="false" outlineLevel="0" collapsed="false">
      <c r="A258" s="0" t="s">
        <v>308</v>
      </c>
      <c r="B258" s="0" t="s">
        <v>111</v>
      </c>
      <c r="C258" s="21" t="s">
        <v>51</v>
      </c>
      <c r="D258" s="0" t="s">
        <v>187</v>
      </c>
      <c r="E258" s="0" t="n">
        <v>0.1975</v>
      </c>
      <c r="F258" s="0" t="n">
        <v>2.19125</v>
      </c>
      <c r="G258" s="0" t="n">
        <v>204</v>
      </c>
      <c r="H258" s="0" t="n">
        <v>167</v>
      </c>
      <c r="I258" s="0" t="s">
        <v>55</v>
      </c>
      <c r="J258" s="0" t="n">
        <v>0.0430336483</v>
      </c>
      <c r="K258" s="0" t="n">
        <v>0.104664</v>
      </c>
      <c r="L258" s="0" t="n">
        <v>0.0101692947510976</v>
      </c>
      <c r="M258" s="1" t="n">
        <v>0.057102267607358</v>
      </c>
      <c r="N258" s="0" t="n">
        <v>0.151589299782579</v>
      </c>
      <c r="O258" s="0" t="n">
        <v>0.290820481722322</v>
      </c>
      <c r="P258" s="0" t="n">
        <v>0.19797337303327</v>
      </c>
      <c r="Q258" s="0" t="n">
        <v>0.214335499861323</v>
      </c>
      <c r="R258" s="11" t="n">
        <v>0.1090119259</v>
      </c>
      <c r="S258" s="0" t="n">
        <v>0.0988426311489024</v>
      </c>
      <c r="T258" s="0" t="n">
        <v>0.0002296266383775</v>
      </c>
      <c r="U258" s="0" t="n">
        <v>0.0002773153883775</v>
      </c>
      <c r="V258" s="0" t="n">
        <v>0.000286225125691</v>
      </c>
      <c r="Z258" s="1"/>
      <c r="AA258" s="1"/>
      <c r="AB258" s="11"/>
      <c r="AJ258" s="0" t="n">
        <v>0.730958408890174</v>
      </c>
      <c r="AK258" s="0" t="n">
        <v>0.0003329027819935</v>
      </c>
      <c r="AL258" s="0" t="n">
        <f aca="false">AK258-0.00004768875</f>
        <v>0.0002852140319935</v>
      </c>
      <c r="AM258" s="0" t="n">
        <v>0.649444023934064</v>
      </c>
      <c r="AN258" s="0" t="n">
        <v>0.00583923421520681</v>
      </c>
      <c r="AO258" s="0" t="n">
        <v>0.000224958354524</v>
      </c>
      <c r="AP258" s="0" t="n">
        <v>0.795693978324421</v>
      </c>
      <c r="AQ258" s="0" t="n">
        <v>0.000333913875691</v>
      </c>
      <c r="AR258" s="0" t="n">
        <v>0.000286225125691</v>
      </c>
      <c r="AS258" s="0" t="n">
        <v>0.602313282022764</v>
      </c>
      <c r="AT258" s="0" t="n">
        <v>0.0127270802125015</v>
      </c>
      <c r="AU258" s="3" t="n">
        <v>0.069784090608587</v>
      </c>
      <c r="AV258" s="0" t="n">
        <v>0.18591399227911</v>
      </c>
      <c r="AW258" s="0" t="n">
        <v>0.090032354571982</v>
      </c>
      <c r="AZ258" s="0" t="n">
        <v>0.272794743060942</v>
      </c>
      <c r="BA258" s="0" t="n">
        <v>0.250294743060942</v>
      </c>
      <c r="BC258" s="0" t="n">
        <v>0.22047337303327</v>
      </c>
      <c r="BD258" s="0" t="n">
        <v>0.19797337303327</v>
      </c>
      <c r="BE258" s="0" t="n">
        <v>0.121949549048879</v>
      </c>
      <c r="BF258" s="3" t="n">
        <v>0.076949549048879</v>
      </c>
      <c r="BG258" s="0" t="n">
        <v>0.0672679283419762</v>
      </c>
      <c r="BH258" s="0" t="n">
        <f aca="false">M258/BG258</f>
        <v>0.84887804656421</v>
      </c>
      <c r="BI258" s="0" t="n">
        <v>0.0110551187256702</v>
      </c>
      <c r="BJ258" s="0" t="n">
        <v>0.593535382247487</v>
      </c>
      <c r="BK258" s="0" t="n">
        <v>0.0721122867261615</v>
      </c>
      <c r="BL258" s="0" t="n">
        <v>0.112532354571982</v>
      </c>
      <c r="BM258" s="0" t="n">
        <v>0.090032354571982</v>
      </c>
      <c r="BN258" s="0" t="e">
        <f aca="false">#REF!/#REF!</f>
        <v>#REF!</v>
      </c>
      <c r="BO258" s="0" t="e">
        <f aca="false">BN258-0.0225</f>
        <v>#REF!</v>
      </c>
    </row>
    <row r="259" customFormat="false" ht="12.8" hidden="false" customHeight="false" outlineLevel="0" collapsed="false">
      <c r="A259" s="0" t="s">
        <v>309</v>
      </c>
      <c r="B259" s="0" t="s">
        <v>111</v>
      </c>
      <c r="C259" s="0" t="s">
        <v>51</v>
      </c>
      <c r="D259" s="0" t="s">
        <v>187</v>
      </c>
      <c r="E259" s="0" t="n">
        <v>0.231025</v>
      </c>
      <c r="F259" s="0" t="n">
        <v>2.25075</v>
      </c>
      <c r="G259" s="0" t="n">
        <v>252</v>
      </c>
      <c r="H259" s="0" t="n">
        <v>206</v>
      </c>
      <c r="I259" s="0" t="s">
        <v>55</v>
      </c>
      <c r="J259" s="0" t="n">
        <v>0.017472</v>
      </c>
      <c r="K259" s="0" t="n">
        <v>0.1292251</v>
      </c>
      <c r="L259" s="0" t="n">
        <v>0.0126868143653711</v>
      </c>
      <c r="M259" s="1" t="n">
        <v>0.060698436607879</v>
      </c>
      <c r="N259" s="0" t="n">
        <v>0.291396289008431</v>
      </c>
      <c r="O259" s="0" t="n">
        <v>0.315687670451947</v>
      </c>
      <c r="P259" s="0" t="n">
        <v>0.247256881825498</v>
      </c>
      <c r="Q259" s="0" t="n">
        <v>0.341310538551595</v>
      </c>
      <c r="R259" s="11" t="n">
        <v>0.146938333575</v>
      </c>
      <c r="S259" s="0" t="n">
        <v>0.134251519209629</v>
      </c>
      <c r="T259" s="0" t="n">
        <v>0.000296821899621</v>
      </c>
      <c r="U259" s="0" t="n">
        <v>0.000344510649621</v>
      </c>
      <c r="V259" s="0" t="n">
        <v>0.000435518936942</v>
      </c>
      <c r="Z259" s="1"/>
      <c r="AA259" s="1"/>
      <c r="AB259" s="11"/>
      <c r="AJ259" s="0" t="n">
        <v>1.86191550978</v>
      </c>
      <c r="AK259" s="0" t="n">
        <v>0.000483207686942</v>
      </c>
      <c r="AL259" s="0" t="n">
        <f aca="false">AK259-0.00004768875</f>
        <v>0.000435518936942</v>
      </c>
      <c r="AM259" s="0" t="n">
        <v>0.285721433583166</v>
      </c>
      <c r="AN259" s="0" t="n">
        <v>0.000369648402943376</v>
      </c>
      <c r="AO259" s="0" t="n">
        <v>0.000296821899621</v>
      </c>
      <c r="AP259" s="0" t="n">
        <v>1.86191550978</v>
      </c>
      <c r="AQ259" s="0" t="n">
        <v>0.000483207686942</v>
      </c>
      <c r="AR259" s="0" t="n">
        <v>0.000435518936942</v>
      </c>
      <c r="AS259" s="0" t="n">
        <v>0.285721433583166</v>
      </c>
      <c r="AT259" s="0" t="n">
        <v>0.000739296805886752</v>
      </c>
      <c r="AU259" s="3" t="n">
        <v>0.07997619867473</v>
      </c>
      <c r="AV259" s="0" t="n">
        <v>0.391607676237674</v>
      </c>
      <c r="AW259" s="0" t="n">
        <v>0.143960964901015</v>
      </c>
      <c r="AZ259" s="0" t="n">
        <v>0.271111334652773</v>
      </c>
      <c r="BA259" s="0" t="n">
        <v>0.248611334652773</v>
      </c>
      <c r="BC259" s="0" t="n">
        <v>0.269756881825498</v>
      </c>
      <c r="BD259" s="0" t="n">
        <v>0.247256881825498</v>
      </c>
      <c r="BE259" s="0" t="n">
        <v>0.123500545832179</v>
      </c>
      <c r="BF259" s="3" t="n">
        <v>0.078500545832179</v>
      </c>
      <c r="BG259" s="0" t="n">
        <v>0.0659847131811445</v>
      </c>
      <c r="BH259" s="0" t="n">
        <f aca="false">M259/BG259</f>
        <v>0.919886344602979</v>
      </c>
      <c r="BI259" s="0" t="n">
        <v>0.0290616685512468</v>
      </c>
      <c r="BJ259" s="0" t="n">
        <v>0.470825996527896</v>
      </c>
      <c r="BK259" s="0" t="n">
        <v>0.107225541063573</v>
      </c>
      <c r="BL259" s="0" t="n">
        <v>0.166460964901015</v>
      </c>
      <c r="BM259" s="0" t="n">
        <v>0.143960964901015</v>
      </c>
      <c r="BN259" s="0" t="e">
        <f aca="false">#REF!/#REF!</f>
        <v>#REF!</v>
      </c>
      <c r="BO259" s="0" t="e">
        <f aca="false">BN259-0.0225</f>
        <v>#REF!</v>
      </c>
    </row>
    <row r="260" customFormat="false" ht="12.8" hidden="false" customHeight="false" outlineLevel="0" collapsed="false">
      <c r="A260" s="0" t="s">
        <v>310</v>
      </c>
      <c r="B260" s="0" t="s">
        <v>111</v>
      </c>
      <c r="C260" s="0" t="s">
        <v>51</v>
      </c>
      <c r="D260" s="0" t="s">
        <v>187</v>
      </c>
      <c r="E260" s="0" t="n">
        <v>0.298875</v>
      </c>
      <c r="F260" s="0" t="n">
        <v>2.93375</v>
      </c>
      <c r="G260" s="0" t="n">
        <v>351</v>
      </c>
      <c r="H260" s="0" t="n">
        <v>312</v>
      </c>
      <c r="I260" s="0" t="s">
        <v>55</v>
      </c>
      <c r="J260" s="0" t="n">
        <v>0.0644713193</v>
      </c>
      <c r="K260" s="0" t="n">
        <v>0.162365</v>
      </c>
      <c r="L260" s="0" t="n">
        <v>0.0176765000653559</v>
      </c>
      <c r="M260" s="1" t="n">
        <v>0.0430815186408824</v>
      </c>
      <c r="N260" s="0" t="n">
        <v>0.230500126046006</v>
      </c>
      <c r="O260" s="0" t="n">
        <v>0.296708613121709</v>
      </c>
      <c r="P260" s="0" t="n">
        <v>0.240508191818619</v>
      </c>
      <c r="Q260" s="0" t="n">
        <v>0.291182809402338</v>
      </c>
      <c r="R260" s="11" t="n">
        <v>0.144059128475</v>
      </c>
      <c r="S260" s="0" t="n">
        <v>0.126382628409644</v>
      </c>
      <c r="T260" s="0" t="n">
        <v>0.000234649214712</v>
      </c>
      <c r="U260" s="0" t="n">
        <v>0.000282337964712</v>
      </c>
      <c r="V260" s="0" t="n">
        <v>0.000237098648074</v>
      </c>
      <c r="Z260" s="1"/>
      <c r="AA260" s="1"/>
      <c r="AB260" s="11"/>
      <c r="AJ260" s="0" t="n">
        <v>0.746635507836622</v>
      </c>
      <c r="AK260" s="0" t="n">
        <v>0.000284787398074</v>
      </c>
      <c r="AL260" s="0" t="n">
        <f aca="false">AK260-0.00004768875</f>
        <v>0.000237098648074</v>
      </c>
      <c r="AM260" s="0" t="n">
        <v>0.742370664477404</v>
      </c>
      <c r="AN260" s="0" t="n">
        <v>0.375068223686559</v>
      </c>
      <c r="AO260" s="0" t="n">
        <v>0.000234649214712</v>
      </c>
      <c r="AP260" s="0" t="n">
        <v>0.746635507836622</v>
      </c>
      <c r="AQ260" s="0" t="n">
        <v>0.000284787398074</v>
      </c>
      <c r="AR260" s="0" t="n">
        <v>0.000237098648074</v>
      </c>
      <c r="AS260" s="0" t="n">
        <v>0.742370664477404</v>
      </c>
      <c r="AT260" s="0" t="n">
        <v>0.750136447373117</v>
      </c>
      <c r="AU260" s="3" t="n">
        <v>0.079494414785215</v>
      </c>
      <c r="AV260" s="0" t="n">
        <v>0.148164561846999</v>
      </c>
      <c r="AW260" s="0" t="n">
        <v>0.137099037226981</v>
      </c>
      <c r="AZ260" s="0" t="n">
        <v>0.288497854379733</v>
      </c>
      <c r="BA260" s="0" t="n">
        <v>0.265997854379733</v>
      </c>
      <c r="BC260" s="0" t="n">
        <v>0.263008191818619</v>
      </c>
      <c r="BD260" s="0" t="n">
        <v>0.240508191818619</v>
      </c>
      <c r="BE260" s="0" t="n">
        <v>0.130767431635883</v>
      </c>
      <c r="BF260" s="3" t="n">
        <v>0.085767431635883</v>
      </c>
      <c r="BG260" s="0" t="n">
        <v>0.0536399248591274</v>
      </c>
      <c r="BH260" s="0" t="n">
        <f aca="false">M260/BG260</f>
        <v>0.80316142787347</v>
      </c>
      <c r="BI260" s="0" t="n">
        <v>0.00123371181270785</v>
      </c>
      <c r="BJ260" s="0" t="n">
        <v>0.504902771328248</v>
      </c>
      <c r="BK260" s="0" t="n">
        <v>0.108838141682714</v>
      </c>
      <c r="BL260" s="0" t="n">
        <v>0.159599037226981</v>
      </c>
      <c r="BM260" s="0" t="n">
        <v>0.137099037226981</v>
      </c>
      <c r="BN260" s="0" t="e">
        <f aca="false">#REF!/#REF!</f>
        <v>#REF!</v>
      </c>
      <c r="BO260" s="0" t="e">
        <f aca="false">BN260-0.0225</f>
        <v>#REF!</v>
      </c>
    </row>
    <row r="261" customFormat="false" ht="12.8" hidden="false" customHeight="false" outlineLevel="0" collapsed="false">
      <c r="A261" s="0" t="s">
        <v>311</v>
      </c>
      <c r="B261" s="0" t="s">
        <v>111</v>
      </c>
      <c r="C261" s="21" t="s">
        <v>59</v>
      </c>
      <c r="D261" s="0" t="s">
        <v>187</v>
      </c>
      <c r="E261" s="0" t="n">
        <v>0.130375</v>
      </c>
      <c r="F261" s="0" t="n">
        <v>1.93</v>
      </c>
      <c r="G261" s="0" t="n">
        <v>50</v>
      </c>
      <c r="H261" s="0" t="n">
        <v>29</v>
      </c>
      <c r="I261" s="0" t="s">
        <v>53</v>
      </c>
      <c r="J261" s="0" t="n">
        <v>0</v>
      </c>
      <c r="K261" s="0" t="n">
        <v>0.0517782</v>
      </c>
      <c r="L261" s="0" t="n">
        <v>0.00218029258451402</v>
      </c>
      <c r="M261" s="1" t="n">
        <v>0.079289606774389</v>
      </c>
      <c r="N261" s="0" t="n">
        <v>0.13459612274742</v>
      </c>
      <c r="O261" s="0" t="n">
        <v>0.177757670005241</v>
      </c>
      <c r="P261" s="0" t="n">
        <v>0.133868126815045</v>
      </c>
      <c r="Q261" s="0" t="n">
        <v>0.148442892949041</v>
      </c>
      <c r="R261" s="11" t="n">
        <v>0.0235342295696</v>
      </c>
      <c r="S261" s="0" t="n">
        <v>0.021353936985086</v>
      </c>
      <c r="T261" s="0" t="n">
        <v>-4.219195392E-005</v>
      </c>
      <c r="U261" s="0" t="n">
        <v>0</v>
      </c>
      <c r="V261" s="0" t="n">
        <v>0.000366746334081</v>
      </c>
      <c r="Z261" s="1"/>
      <c r="AA261" s="1"/>
      <c r="AB261" s="11"/>
      <c r="AJ261" s="0" t="n">
        <v>100</v>
      </c>
      <c r="AK261" s="0" t="n">
        <v>0.000408938288001</v>
      </c>
      <c r="AL261" s="0" t="n">
        <f aca="false">AK261-0.00004219195392</f>
        <v>0.000366746334081</v>
      </c>
      <c r="AM261" s="0" t="n">
        <v>0</v>
      </c>
      <c r="AN261" s="0" t="n">
        <v>0</v>
      </c>
      <c r="AO261" s="0" t="n">
        <v>-4.219195392E-005</v>
      </c>
      <c r="AP261" s="0" t="n">
        <v>100</v>
      </c>
      <c r="AQ261" s="0" t="n">
        <v>0.000408938288001</v>
      </c>
      <c r="AR261" s="0" t="n">
        <v>0.000366746334081</v>
      </c>
      <c r="AS261" s="0" t="n">
        <v>100</v>
      </c>
      <c r="AT261" s="0" t="n">
        <v>0</v>
      </c>
      <c r="AU261" s="3" t="n">
        <v>0.0431073750598</v>
      </c>
      <c r="AV261" s="0" t="n">
        <v>0.309368370925424</v>
      </c>
      <c r="AW261" s="0" t="n">
        <v>0</v>
      </c>
      <c r="AZ261" s="0" t="n">
        <v>0.171640919630003</v>
      </c>
      <c r="BA261" s="0" t="n">
        <v>0.150040919630003</v>
      </c>
      <c r="BC261" s="0" t="n">
        <v>0.155468126815045</v>
      </c>
      <c r="BD261" s="0" t="n">
        <v>0.133868126815045</v>
      </c>
      <c r="BE261" s="0" t="n">
        <v>0.080028989664803</v>
      </c>
      <c r="BF261" s="3" t="n">
        <v>0.036828989664803</v>
      </c>
      <c r="BG261" s="0" t="n">
        <v>0.0844513846265468</v>
      </c>
      <c r="BH261" s="0" t="n">
        <f aca="false">M261/BG261</f>
        <v>0.938878706666756</v>
      </c>
      <c r="BI261" s="0" t="n">
        <v>0.482129445201478</v>
      </c>
      <c r="BJ261" s="0" t="n">
        <v>0.610422031038921</v>
      </c>
      <c r="BK261" s="0" t="n">
        <v>0</v>
      </c>
      <c r="BL261" s="0" t="n">
        <v>0</v>
      </c>
      <c r="BM261" s="0" t="n">
        <v>0</v>
      </c>
      <c r="BN261" s="0" t="e">
        <f aca="false">#REF!/#REF!</f>
        <v>#REF!</v>
      </c>
      <c r="BO261" s="0" t="n">
        <v>0</v>
      </c>
    </row>
    <row r="262" customFormat="false" ht="12.8" hidden="false" customHeight="false" outlineLevel="0" collapsed="false">
      <c r="A262" s="0" t="s">
        <v>312</v>
      </c>
      <c r="B262" s="0" t="s">
        <v>111</v>
      </c>
      <c r="C262" s="0" t="s">
        <v>51</v>
      </c>
      <c r="D262" s="0" t="s">
        <v>187</v>
      </c>
      <c r="E262" s="0" t="n">
        <v>0.276525</v>
      </c>
      <c r="F262" s="0" t="n">
        <v>2.95</v>
      </c>
      <c r="G262" s="0" t="n">
        <v>383</v>
      </c>
      <c r="H262" s="0" t="n">
        <v>343</v>
      </c>
      <c r="I262" s="0" t="s">
        <v>53</v>
      </c>
      <c r="J262" s="0" t="n">
        <v>0.0515921302</v>
      </c>
      <c r="K262" s="0" t="n">
        <v>0.123009</v>
      </c>
      <c r="L262" s="0" t="n">
        <v>0.0192840225817133</v>
      </c>
      <c r="M262" s="1" t="n">
        <v>0.0403807612289755</v>
      </c>
      <c r="N262" s="0" t="n">
        <v>0.209188129964669</v>
      </c>
      <c r="O262" s="0" t="n">
        <v>0.33708636253023</v>
      </c>
      <c r="P262" s="0" t="n">
        <v>0.221814123943886</v>
      </c>
      <c r="Q262" s="0" t="n">
        <v>0.224185504165891</v>
      </c>
      <c r="R262" s="11" t="n">
        <v>0.200085169975</v>
      </c>
      <c r="S262" s="0" t="n">
        <v>0.180801147393287</v>
      </c>
      <c r="T262" s="0" t="n">
        <v>0.000179486870471</v>
      </c>
      <c r="U262" s="0" t="n">
        <v>0.000227175620471</v>
      </c>
      <c r="V262" s="0" t="n">
        <v>0.00032215382449</v>
      </c>
      <c r="Z262" s="1"/>
      <c r="AA262" s="1"/>
      <c r="AB262" s="11"/>
      <c r="AJ262" s="0" t="n">
        <v>0.943313140002155</v>
      </c>
      <c r="AK262" s="0" t="n">
        <v>0.000419580951398</v>
      </c>
      <c r="AL262" s="0" t="n">
        <f aca="false">AK262-0.00004768875</f>
        <v>0.000371892201398</v>
      </c>
      <c r="AM262" s="0" t="n">
        <v>0.652333423170364</v>
      </c>
      <c r="AN262" s="0" t="n">
        <v>3.46821876734327E-016</v>
      </c>
      <c r="AO262" s="0" t="n">
        <v>0.00017870026136</v>
      </c>
      <c r="AP262" s="0" t="n">
        <v>0.951318055513891</v>
      </c>
      <c r="AQ262" s="0" t="n">
        <v>0.00036984257449</v>
      </c>
      <c r="AR262" s="0" t="n">
        <v>0.00032215382449</v>
      </c>
      <c r="AS262" s="0" t="n">
        <v>0.594531023727077</v>
      </c>
      <c r="AT262" s="0" t="n">
        <v>7.9696195E-013</v>
      </c>
      <c r="AU262" s="3" t="n">
        <v>0.094040088919924</v>
      </c>
      <c r="AV262" s="0" t="n">
        <v>0.0239520981194863</v>
      </c>
      <c r="AW262" s="0" t="n">
        <v>0.107885344433682</v>
      </c>
      <c r="AZ262" s="0" t="n">
        <v>0.30692347734516</v>
      </c>
      <c r="BA262" s="0" t="n">
        <v>0.28442347734516</v>
      </c>
      <c r="BC262" s="0" t="n">
        <v>0.244314123943886</v>
      </c>
      <c r="BD262" s="0" t="n">
        <v>0.221814123943886</v>
      </c>
      <c r="BE262" s="0" t="n">
        <v>0.125825702607252</v>
      </c>
      <c r="BF262" s="3" t="n">
        <v>0.080825702607252</v>
      </c>
      <c r="BG262" s="0" t="n">
        <v>0.0652364662895302</v>
      </c>
      <c r="BH262" s="0" t="n">
        <f aca="false">M262/BG262</f>
        <v>0.618990627876118</v>
      </c>
      <c r="BI262" s="0" t="n">
        <v>8.742368E-014</v>
      </c>
      <c r="BJ262" s="0" t="n">
        <v>0.502486071206227</v>
      </c>
      <c r="BK262" s="0" t="n">
        <v>0.150373645624171</v>
      </c>
      <c r="BL262" s="0" t="n">
        <v>0.130385344433682</v>
      </c>
      <c r="BM262" s="0" t="n">
        <v>0.107885344433682</v>
      </c>
      <c r="BN262" s="0" t="e">
        <f aca="false">#REF!/#REF!</f>
        <v>#REF!</v>
      </c>
      <c r="BO262" s="0" t="e">
        <f aca="false">BN262-0.0225</f>
        <v>#REF!</v>
      </c>
    </row>
    <row r="263" customFormat="false" ht="12.8" hidden="false" customHeight="false" outlineLevel="0" collapsed="false">
      <c r="A263" s="0" t="s">
        <v>313</v>
      </c>
      <c r="B263" s="0" t="s">
        <v>111</v>
      </c>
      <c r="C263" s="21" t="s">
        <v>51</v>
      </c>
      <c r="D263" s="0" t="s">
        <v>187</v>
      </c>
      <c r="E263" s="0" t="n">
        <v>0.22725</v>
      </c>
      <c r="F263" s="0" t="n">
        <v>2.9625</v>
      </c>
      <c r="G263" s="0" t="n">
        <v>136</v>
      </c>
      <c r="H263" s="0" t="n">
        <v>104</v>
      </c>
      <c r="I263" s="0" t="s">
        <v>53</v>
      </c>
      <c r="J263" s="0" t="n">
        <v>0.0588311963</v>
      </c>
      <c r="K263" s="0" t="n">
        <v>0.068934</v>
      </c>
      <c r="L263" s="0" t="n">
        <v>0.00685166536658994</v>
      </c>
      <c r="M263" s="1" t="n">
        <v>0.057968593427617</v>
      </c>
      <c r="N263" s="0" t="n">
        <v>0.200780164038081</v>
      </c>
      <c r="O263" s="0" t="n">
        <v>0.259503005409483</v>
      </c>
      <c r="P263" s="0" t="n">
        <v>0.164680042914005</v>
      </c>
      <c r="Q263" s="0" t="n">
        <v>0.203689263822905</v>
      </c>
      <c r="R263" s="11" t="n">
        <v>0.06834413157</v>
      </c>
      <c r="S263" s="0" t="n">
        <v>0.0614924662034101</v>
      </c>
      <c r="T263" s="0" t="n">
        <v>0.0002219536668155</v>
      </c>
      <c r="U263" s="0" t="n">
        <v>0.0002696424168155</v>
      </c>
      <c r="V263" s="0" t="n">
        <v>0.000350391531548</v>
      </c>
      <c r="Z263" s="1"/>
      <c r="AA263" s="1"/>
      <c r="AB263" s="11"/>
      <c r="AJ263" s="0" t="n">
        <v>1.57464955652464</v>
      </c>
      <c r="AK263" s="0" t="n">
        <v>0.000420173865835</v>
      </c>
      <c r="AL263" s="0" t="n">
        <f aca="false">AK263-0.00004768875</f>
        <v>0.000372485115835</v>
      </c>
      <c r="AM263" s="0" t="n">
        <v>0.341129012573321</v>
      </c>
      <c r="AN263" s="0" t="n">
        <v>0.00135228802656122</v>
      </c>
      <c r="AO263" s="0" t="n">
        <v>0.000215400916715</v>
      </c>
      <c r="AP263" s="0" t="n">
        <v>2.00799799629555</v>
      </c>
      <c r="AQ263" s="0" t="n">
        <v>0.000398080281548</v>
      </c>
      <c r="AR263" s="0" t="n">
        <v>0.000350391531548</v>
      </c>
      <c r="AS263" s="0" t="n">
        <v>0.395980797485382</v>
      </c>
      <c r="AT263" s="0" t="n">
        <v>0.0494871844267525</v>
      </c>
      <c r="AU263" s="3" t="n">
        <v>0.062886341000412</v>
      </c>
      <c r="AV263" s="0" t="n">
        <v>0.194109612042629</v>
      </c>
      <c r="AW263" s="0" t="n">
        <v>0.455200298141506</v>
      </c>
      <c r="AZ263" s="0" t="n">
        <v>0.169094873968038</v>
      </c>
      <c r="BA263" s="0" t="n">
        <v>0.146594873968038</v>
      </c>
      <c r="BC263" s="0" t="n">
        <v>0.187180042914005</v>
      </c>
      <c r="BD263" s="0" t="n">
        <v>0.164680042914005</v>
      </c>
      <c r="BE263" s="0" t="n">
        <v>0.0982361640755213</v>
      </c>
      <c r="BF263" s="3" t="n">
        <v>0.0532361640755213</v>
      </c>
      <c r="BG263" s="0" t="n">
        <v>0.0745344590615257</v>
      </c>
      <c r="BH263" s="0" t="n">
        <f aca="false">M263/BG263</f>
        <v>0.777742190089095</v>
      </c>
      <c r="BI263" s="0" t="n">
        <v>5.61238325917953E-005</v>
      </c>
      <c r="BJ263" s="0" t="n">
        <v>0.509598208378761</v>
      </c>
      <c r="BK263" s="0" t="n">
        <v>0.447550623874908</v>
      </c>
      <c r="BL263" s="0" t="n">
        <v>0.477700298141506</v>
      </c>
      <c r="BM263" s="0" t="n">
        <v>0.455200298141506</v>
      </c>
      <c r="BN263" s="0" t="e">
        <f aca="false">#REF!/#REF!</f>
        <v>#REF!</v>
      </c>
      <c r="BO263" s="0" t="e">
        <f aca="false">BN263-0.0225</f>
        <v>#REF!</v>
      </c>
    </row>
    <row r="264" customFormat="false" ht="12.8" hidden="false" customHeight="false" outlineLevel="0" collapsed="false">
      <c r="A264" s="0" t="s">
        <v>314</v>
      </c>
      <c r="B264" s="0" t="s">
        <v>111</v>
      </c>
      <c r="C264" s="21" t="s">
        <v>59</v>
      </c>
      <c r="D264" s="0" t="s">
        <v>187</v>
      </c>
      <c r="E264" s="0" t="n">
        <v>0.04804</v>
      </c>
      <c r="F264" s="0" t="n">
        <v>0.954</v>
      </c>
      <c r="G264" s="0" t="n">
        <v>26</v>
      </c>
      <c r="H264" s="0" t="n">
        <v>14</v>
      </c>
      <c r="I264" s="0" t="s">
        <v>53</v>
      </c>
      <c r="J264" s="0" t="n">
        <v>0</v>
      </c>
      <c r="K264" s="0" t="n">
        <v>0.026315</v>
      </c>
      <c r="L264" s="0" t="n">
        <v>0.0011561768678275</v>
      </c>
      <c r="M264" s="1" t="n">
        <v>0.061093162122142</v>
      </c>
      <c r="N264" s="0" t="n">
        <v>0.137538391238653</v>
      </c>
      <c r="O264" s="0" t="n">
        <v>0.119700387725685</v>
      </c>
      <c r="P264" s="0" t="n">
        <v>0.0734456040970374</v>
      </c>
      <c r="Q264" s="0" t="n">
        <v>0.162978076561767</v>
      </c>
      <c r="R264" s="11" t="n">
        <v>0.0082777509112</v>
      </c>
      <c r="S264" s="0" t="n">
        <v>0.0071215740433725</v>
      </c>
      <c r="T264" s="0" t="n">
        <v>0.000200472541805</v>
      </c>
      <c r="U264" s="0" t="n">
        <v>0.000242664495725</v>
      </c>
      <c r="V264" s="0" t="n">
        <v>0</v>
      </c>
      <c r="Z264" s="1"/>
      <c r="AA264" s="1"/>
      <c r="AB264" s="11"/>
      <c r="AJ264" s="0" t="n">
        <v>0</v>
      </c>
      <c r="AK264" s="0" t="n">
        <v>0</v>
      </c>
      <c r="AL264" s="0" t="n">
        <f aca="false">AK264-0.00004219195392</f>
        <v>-4.219195392E-005</v>
      </c>
      <c r="AM264" s="0" t="n">
        <v>100</v>
      </c>
      <c r="AN264" s="0" t="n">
        <v>0</v>
      </c>
      <c r="AO264" s="0" t="n">
        <v>0.000200472541805</v>
      </c>
      <c r="AQ264" s="0" t="n">
        <v>0</v>
      </c>
      <c r="AR264" s="0" t="n">
        <v>-4.219195392E-005</v>
      </c>
      <c r="AS264" s="0" t="n">
        <v>100</v>
      </c>
      <c r="AT264" s="0" t="n">
        <v>0</v>
      </c>
      <c r="AU264" s="3" t="n">
        <v>0.0033313338342191</v>
      </c>
      <c r="AV264" s="0" t="n">
        <v>0.0228191079022143</v>
      </c>
      <c r="AW264" s="0" t="n">
        <v>0</v>
      </c>
      <c r="AZ264" s="0" t="n">
        <v>0.197903121334867</v>
      </c>
      <c r="BA264" s="0" t="n">
        <v>0.176303121334867</v>
      </c>
      <c r="BC264" s="0" t="n">
        <v>0.0950456040970374</v>
      </c>
      <c r="BD264" s="0" t="n">
        <v>0.0734456040970374</v>
      </c>
      <c r="BE264" s="0" t="n">
        <v>0.0661993126081755</v>
      </c>
      <c r="BF264" s="3" t="n">
        <v>0.0229993126081755</v>
      </c>
      <c r="BG264" s="0" t="n">
        <v>0.0637092928700599</v>
      </c>
      <c r="BH264" s="0" t="n">
        <f aca="false">M264/BG264</f>
        <v>0.958936434073225</v>
      </c>
      <c r="BI264" s="0" t="n">
        <v>0.395363276978953</v>
      </c>
      <c r="BJ264" s="0" t="n">
        <v>0.850175667683935</v>
      </c>
      <c r="BK264" s="0" t="n">
        <v>0</v>
      </c>
      <c r="BL264" s="0" t="n">
        <v>0</v>
      </c>
      <c r="BM264" s="0" t="n">
        <v>0</v>
      </c>
      <c r="BN264" s="0" t="e">
        <f aca="false">#REF!/#REF!</f>
        <v>#REF!</v>
      </c>
      <c r="BO264" s="0" t="n">
        <v>0</v>
      </c>
    </row>
    <row r="265" customFormat="false" ht="12.8" hidden="false" customHeight="false" outlineLevel="0" collapsed="false">
      <c r="A265" s="0" t="s">
        <v>315</v>
      </c>
      <c r="B265" s="0" t="s">
        <v>111</v>
      </c>
      <c r="C265" s="21" t="s">
        <v>51</v>
      </c>
      <c r="D265" s="0" t="s">
        <v>187</v>
      </c>
      <c r="E265" s="0" t="n">
        <v>0.1166</v>
      </c>
      <c r="F265" s="0" t="n">
        <v>1.54475</v>
      </c>
      <c r="G265" s="0" t="n">
        <v>132</v>
      </c>
      <c r="H265" s="0" t="n">
        <v>100</v>
      </c>
      <c r="I265" s="0" t="s">
        <v>53</v>
      </c>
      <c r="J265" s="0" t="n">
        <v>0.0260419641</v>
      </c>
      <c r="K265" s="0" t="n">
        <v>0.065904</v>
      </c>
      <c r="L265" s="0" t="n">
        <v>0.00649240362250848</v>
      </c>
      <c r="M265" s="1" t="n">
        <v>0.057419190712301</v>
      </c>
      <c r="N265" s="0" t="n">
        <v>0.185386280555298</v>
      </c>
      <c r="O265" s="0" t="n">
        <v>0.316825749506977</v>
      </c>
      <c r="P265" s="0" t="n">
        <v>0.230312474171895</v>
      </c>
      <c r="Q265" s="0" t="n">
        <v>0.209594502828676</v>
      </c>
      <c r="R265" s="11" t="n">
        <v>0.05661078275</v>
      </c>
      <c r="S265" s="0" t="n">
        <v>0.0501183791274915</v>
      </c>
      <c r="T265" s="0" t="n">
        <v>0.000256769314469</v>
      </c>
      <c r="U265" s="0" t="n">
        <v>0.000304458064469</v>
      </c>
      <c r="V265" s="0" t="n">
        <v>0.000286097094619</v>
      </c>
      <c r="Z265" s="1"/>
      <c r="AA265" s="1"/>
      <c r="AB265" s="11"/>
      <c r="AJ265" s="0" t="n">
        <v>1.01049164862009</v>
      </c>
      <c r="AK265" s="0" t="n">
        <v>0.000333785844619</v>
      </c>
      <c r="AL265" s="0" t="n">
        <f aca="false">AK265-0.00004768875</f>
        <v>0.000286097094619</v>
      </c>
      <c r="AM265" s="0" t="n">
        <v>0.0831213270414714</v>
      </c>
      <c r="AN265" s="0" t="n">
        <v>0.39644775158948</v>
      </c>
      <c r="AO265" s="0" t="n">
        <v>0.000256769314469</v>
      </c>
      <c r="AP265" s="0" t="n">
        <v>1.01049164862009</v>
      </c>
      <c r="AQ265" s="0" t="n">
        <v>0.000333785844619</v>
      </c>
      <c r="AR265" s="0" t="n">
        <v>0.000286097094619</v>
      </c>
      <c r="AS265" s="0" t="n">
        <v>0.0831213270414714</v>
      </c>
      <c r="AT265" s="0" t="n">
        <v>0.798445998445998</v>
      </c>
      <c r="AU265" s="3" t="n">
        <v>0.061496121693039</v>
      </c>
      <c r="AV265" s="0" t="n">
        <v>0.0974502285746455</v>
      </c>
      <c r="AW265" s="0" t="n">
        <v>0.078398893305862</v>
      </c>
      <c r="AZ265" s="0" t="n">
        <v>0.246513734646479</v>
      </c>
      <c r="BA265" s="0" t="n">
        <v>0.224013734646479</v>
      </c>
      <c r="BC265" s="0" t="n">
        <v>0.252812474171895</v>
      </c>
      <c r="BD265" s="0" t="n">
        <v>0.230312474171895</v>
      </c>
      <c r="BE265" s="0" t="n">
        <v>0.0904126036537883</v>
      </c>
      <c r="BF265" s="3" t="n">
        <v>0.0454126036537883</v>
      </c>
      <c r="BG265" s="0" t="n">
        <v>0.064505095531231</v>
      </c>
      <c r="BH265" s="0" t="n">
        <f aca="false">M265/BG265</f>
        <v>0.890149688787</v>
      </c>
      <c r="BI265" s="0" t="n">
        <v>0.0377555396734776</v>
      </c>
      <c r="BJ265" s="0" t="n">
        <v>0.417978214937671</v>
      </c>
      <c r="BK265" s="0" t="n">
        <v>0.0243262530434741</v>
      </c>
      <c r="BL265" s="0" t="n">
        <v>0.100898893305862</v>
      </c>
      <c r="BM265" s="0" t="n">
        <v>0.078398893305862</v>
      </c>
      <c r="BN265" s="0" t="e">
        <f aca="false">#REF!/#REF!</f>
        <v>#REF!</v>
      </c>
      <c r="BO265" s="0" t="e">
        <f aca="false">BN265-0.0225</f>
        <v>#REF!</v>
      </c>
    </row>
    <row r="266" customFormat="false" ht="12.8" hidden="false" customHeight="false" outlineLevel="0" collapsed="false">
      <c r="A266" s="0" t="s">
        <v>316</v>
      </c>
      <c r="B266" s="0" t="s">
        <v>111</v>
      </c>
      <c r="C266" s="21" t="s">
        <v>59</v>
      </c>
      <c r="D266" s="0" t="s">
        <v>187</v>
      </c>
      <c r="E266" s="0" t="n">
        <v>0.18325</v>
      </c>
      <c r="F266" s="0" t="n">
        <v>2.31325</v>
      </c>
      <c r="G266" s="0" t="n">
        <v>281</v>
      </c>
      <c r="H266" s="0" t="n">
        <v>241</v>
      </c>
      <c r="I266" s="0" t="s">
        <v>55</v>
      </c>
      <c r="J266" s="0" t="n">
        <v>0</v>
      </c>
      <c r="K266" s="0" t="n">
        <v>0.098677</v>
      </c>
      <c r="L266" s="0" t="n">
        <v>0.0125029507814251</v>
      </c>
      <c r="M266" s="1" t="n">
        <v>0.0431618794741528</v>
      </c>
      <c r="N266" s="0" t="n">
        <v>0.16288097973703</v>
      </c>
      <c r="O266" s="0" t="n">
        <v>0.278685762014885</v>
      </c>
      <c r="P266" s="0" t="n">
        <v>0.203797464224516</v>
      </c>
      <c r="Q266" s="0" t="n">
        <v>0.250803698663747</v>
      </c>
      <c r="R266" s="11" t="n">
        <v>0.120256047116</v>
      </c>
      <c r="S266" s="0" t="n">
        <v>0.107753096334575</v>
      </c>
      <c r="T266" s="0" t="n">
        <v>0.0002105363339065</v>
      </c>
      <c r="U266" s="0" t="n">
        <v>0.0002527282878265</v>
      </c>
      <c r="V266" s="0" t="n">
        <v>0.000287325442437</v>
      </c>
      <c r="Z266" s="1"/>
      <c r="AA266" s="1"/>
      <c r="AB266" s="11"/>
      <c r="AJ266" s="0" t="n">
        <v>1.67571590534185</v>
      </c>
      <c r="AK266" s="0" t="n">
        <v>0.000361151258457</v>
      </c>
      <c r="AL266" s="0" t="n">
        <f aca="false">AK266-0.00004219195392</f>
        <v>0.000318959304537</v>
      </c>
      <c r="AM266" s="0" t="n">
        <v>0.779771068372387</v>
      </c>
      <c r="AN266" s="0" t="n">
        <v>1.3180570409295E-007</v>
      </c>
      <c r="AO266" s="0" t="n">
        <v>0.000207528727075</v>
      </c>
      <c r="AP266" s="0" t="n">
        <v>0.560380262311533</v>
      </c>
      <c r="AQ266" s="0" t="n">
        <v>0.000329517396357</v>
      </c>
      <c r="AR266" s="0" t="n">
        <v>0.000287325442437</v>
      </c>
      <c r="AS266" s="0" t="n">
        <v>0.748345043093408</v>
      </c>
      <c r="AT266" s="0" t="n">
        <v>8.45822087564631E-005</v>
      </c>
      <c r="AU266" s="3" t="n">
        <v>0.069109226351583</v>
      </c>
      <c r="AV266" s="0" t="n">
        <v>0.338717687847666</v>
      </c>
      <c r="AW266" s="0" t="n">
        <v>0</v>
      </c>
      <c r="AZ266" s="0" t="n">
        <v>0.152991030650332</v>
      </c>
      <c r="BA266" s="0" t="n">
        <v>0.131391030650332</v>
      </c>
      <c r="BC266" s="0" t="n">
        <v>0.225397464224516</v>
      </c>
      <c r="BD266" s="0" t="n">
        <v>0.203797464224516</v>
      </c>
      <c r="BE266" s="0" t="n">
        <v>0.108975437805103</v>
      </c>
      <c r="BF266" s="3" t="n">
        <v>0.065775437805103</v>
      </c>
      <c r="BG266" s="0" t="n">
        <v>0.0581802489344228</v>
      </c>
      <c r="BH266" s="0" t="n">
        <f aca="false">M266/BG266</f>
        <v>0.741864812623992</v>
      </c>
      <c r="BI266" s="0" t="n">
        <v>5.18882770956E-009</v>
      </c>
      <c r="BJ266" s="0" t="n">
        <v>0.483117134634945</v>
      </c>
      <c r="BK266" s="0" t="n">
        <v>0</v>
      </c>
      <c r="BL266" s="0" t="n">
        <v>0</v>
      </c>
      <c r="BM266" s="0" t="n">
        <v>0</v>
      </c>
      <c r="BN266" s="0" t="e">
        <f aca="false">#REF!/#REF!</f>
        <v>#REF!</v>
      </c>
      <c r="BO266" s="0" t="n">
        <v>0</v>
      </c>
    </row>
    <row r="267" customFormat="false" ht="12.8" hidden="false" customHeight="false" outlineLevel="0" collapsed="false">
      <c r="A267" s="0" t="s">
        <v>317</v>
      </c>
      <c r="B267" s="0" t="s">
        <v>111</v>
      </c>
      <c r="C267" s="0" t="s">
        <v>59</v>
      </c>
      <c r="D267" s="0" t="s">
        <v>187</v>
      </c>
      <c r="E267" s="0" t="n">
        <v>0.11645</v>
      </c>
      <c r="F267" s="0" t="n">
        <v>2.14425</v>
      </c>
      <c r="G267" s="0" t="n">
        <v>108</v>
      </c>
      <c r="H267" s="0" t="n">
        <v>81</v>
      </c>
      <c r="I267" s="0" t="s">
        <v>55</v>
      </c>
      <c r="J267" s="0" t="n">
        <v>0</v>
      </c>
      <c r="K267" s="0" t="n">
        <v>0.07123</v>
      </c>
      <c r="L267" s="0" t="n">
        <v>0.00480665493536143</v>
      </c>
      <c r="M267" s="1" t="n">
        <v>0.075734540214251</v>
      </c>
      <c r="N267" s="0" t="n">
        <v>0.182902980028169</v>
      </c>
      <c r="O267" s="0" t="n">
        <v>0.399882411485972</v>
      </c>
      <c r="P267" s="0" t="n">
        <v>0.206895824751581</v>
      </c>
      <c r="Q267" s="0" t="n">
        <v>0.226805627229239</v>
      </c>
      <c r="R267" s="11" t="n">
        <v>0.077932958264</v>
      </c>
      <c r="S267" s="0" t="n">
        <v>0.0731263033286386</v>
      </c>
      <c r="T267" s="0" t="n">
        <v>0.000264034422374</v>
      </c>
      <c r="U267" s="0" t="n">
        <v>0.000306226376294</v>
      </c>
      <c r="V267" s="0" t="n">
        <v>0.000369876195296</v>
      </c>
      <c r="Z267" s="1"/>
      <c r="AA267" s="1"/>
      <c r="AB267" s="11"/>
      <c r="AJ267" s="0" t="n">
        <v>1.51845642446183</v>
      </c>
      <c r="AK267" s="0" t="n">
        <v>0.000729280980601</v>
      </c>
      <c r="AL267" s="0" t="n">
        <f aca="false">AK267-0.00004219195392</f>
        <v>0.000687089026681</v>
      </c>
      <c r="AM267" s="0" t="n">
        <v>-0.151736261537267</v>
      </c>
      <c r="AN267" s="0" t="n">
        <v>0.00545004334066444</v>
      </c>
      <c r="AO267" s="0" t="n">
        <v>0.000250147836897</v>
      </c>
      <c r="AP267" s="0" t="n">
        <v>-0.477016878450755</v>
      </c>
      <c r="AQ267" s="0" t="n">
        <v>0.000412068149216</v>
      </c>
      <c r="AR267" s="0" t="n">
        <v>0.000369876195296</v>
      </c>
      <c r="AS267" s="0" t="n">
        <v>0.849934051351127</v>
      </c>
      <c r="AT267" s="0" t="n">
        <v>0.25</v>
      </c>
      <c r="AU267" s="3" t="n">
        <v>0.061229398203973</v>
      </c>
      <c r="AV267" s="0" t="n">
        <v>0.023868649982587</v>
      </c>
      <c r="AW267" s="0" t="n">
        <v>0</v>
      </c>
      <c r="AZ267" s="0" t="n">
        <v>0.233730029721061</v>
      </c>
      <c r="BA267" s="0" t="n">
        <v>0.212130029721061</v>
      </c>
      <c r="BC267" s="0" t="n">
        <v>0.228495824751581</v>
      </c>
      <c r="BD267" s="0" t="n">
        <v>0.206895824751581</v>
      </c>
      <c r="BE267" s="0" t="n">
        <v>0.0885633776869307</v>
      </c>
      <c r="BF267" s="3" t="n">
        <v>0.0453633776869307</v>
      </c>
      <c r="BG267" s="0" t="n">
        <v>0.113155426985288</v>
      </c>
      <c r="BH267" s="0" t="n">
        <f aca="false">M267/BG267</f>
        <v>0.669296579333289</v>
      </c>
      <c r="BI267" s="0" t="n">
        <v>6.04759023870534E-005</v>
      </c>
      <c r="BJ267" s="0" t="n">
        <v>0.407462250766154</v>
      </c>
      <c r="BK267" s="0" t="n">
        <v>0</v>
      </c>
      <c r="BL267" s="0" t="n">
        <v>0</v>
      </c>
      <c r="BM267" s="0" t="n">
        <v>0</v>
      </c>
      <c r="BN267" s="0" t="e">
        <f aca="false">#REF!/#REF!</f>
        <v>#REF!</v>
      </c>
      <c r="BO267" s="0" t="n">
        <v>0</v>
      </c>
    </row>
    <row r="268" customFormat="false" ht="12.8" hidden="false" customHeight="false" outlineLevel="0" collapsed="false">
      <c r="A268" s="0" t="s">
        <v>318</v>
      </c>
      <c r="B268" s="0" t="s">
        <v>111</v>
      </c>
      <c r="C268" s="0" t="s">
        <v>59</v>
      </c>
      <c r="D268" s="0" t="s">
        <v>187</v>
      </c>
      <c r="E268" s="0" t="n">
        <v>0.119075</v>
      </c>
      <c r="F268" s="0" t="n">
        <v>1.89525</v>
      </c>
      <c r="G268" s="0" t="n">
        <v>45</v>
      </c>
      <c r="H268" s="0" t="n">
        <v>22</v>
      </c>
      <c r="I268" s="0" t="s">
        <v>55</v>
      </c>
      <c r="J268" s="0" t="n">
        <v>0</v>
      </c>
      <c r="K268" s="0" t="n">
        <v>0.049939</v>
      </c>
      <c r="L268" s="0" t="n">
        <v>0.00200139629859501</v>
      </c>
      <c r="M268" s="1" t="n">
        <v>0.078734599601901</v>
      </c>
      <c r="N268" s="0" t="n">
        <v>0.131443438246027</v>
      </c>
      <c r="O268" s="0" t="n">
        <v>0.179880530272624</v>
      </c>
      <c r="P268" s="0" t="n">
        <v>0.147805297588915</v>
      </c>
      <c r="Q268" s="0" t="n">
        <v>0.10580812351632</v>
      </c>
      <c r="R268" s="11" t="n">
        <v>0.0242422575152</v>
      </c>
      <c r="S268" s="0" t="n">
        <v>0.022240861216605</v>
      </c>
      <c r="T268" s="0" t="n">
        <v>-4.219195392E-005</v>
      </c>
      <c r="U268" s="0" t="n">
        <v>0</v>
      </c>
      <c r="V268" s="0" t="n">
        <v>0</v>
      </c>
      <c r="Z268" s="1"/>
      <c r="AA268" s="1"/>
      <c r="AB268" s="11"/>
      <c r="AJ268" s="0" t="n">
        <v>100</v>
      </c>
      <c r="AK268" s="0" t="n">
        <v>0</v>
      </c>
      <c r="AL268" s="0" t="n">
        <f aca="false">AK268-0.00004219195392</f>
        <v>-4.219195392E-005</v>
      </c>
      <c r="AM268" s="0" t="n">
        <v>100</v>
      </c>
      <c r="AN268" s="0" t="n">
        <v>0</v>
      </c>
      <c r="AO268" s="0" t="n">
        <v>-4.219195392E-005</v>
      </c>
      <c r="AP268" s="0" t="n">
        <v>100</v>
      </c>
      <c r="AQ268" s="0" t="n">
        <v>0</v>
      </c>
      <c r="AR268" s="0" t="n">
        <v>-4.219195392E-005</v>
      </c>
      <c r="AS268" s="0" t="n">
        <v>100</v>
      </c>
      <c r="AT268" s="0" t="n">
        <v>0</v>
      </c>
      <c r="AU268" s="3" t="n">
        <v>0.0287593006824312</v>
      </c>
      <c r="AV268" s="0" t="n">
        <v>0.366795323475133</v>
      </c>
      <c r="AW268" s="0" t="n">
        <v>0</v>
      </c>
      <c r="AZ268" s="0" t="n">
        <v>0.193104324669878</v>
      </c>
      <c r="BA268" s="0" t="n">
        <v>0.171504324669878</v>
      </c>
      <c r="BC268" s="0" t="n">
        <v>0.169405297588915</v>
      </c>
      <c r="BD268" s="0" t="n">
        <v>0.147805297588915</v>
      </c>
      <c r="BE268" s="0" t="n">
        <v>0.0719538985232934</v>
      </c>
      <c r="BF268" s="3" t="n">
        <v>0.0287538985232934</v>
      </c>
      <c r="BG268" s="0" t="n">
        <v>0.0918547964685863</v>
      </c>
      <c r="BH268" s="0" t="n">
        <f aca="false">M268/BG268</f>
        <v>0.857163726107952</v>
      </c>
      <c r="BI268" s="0" t="n">
        <v>0.124256815976806</v>
      </c>
      <c r="BJ268" s="0" t="n">
        <v>0.548829336607643</v>
      </c>
      <c r="BK268" s="0" t="n">
        <v>0</v>
      </c>
      <c r="BL268" s="0" t="n">
        <v>0</v>
      </c>
      <c r="BM268" s="0" t="n">
        <v>0</v>
      </c>
      <c r="BN268" s="0" t="e">
        <f aca="false">#REF!/#REF!</f>
        <v>#REF!</v>
      </c>
      <c r="BO268" s="0" t="n">
        <v>0</v>
      </c>
    </row>
    <row r="269" customFormat="false" ht="12.8" hidden="false" customHeight="false" outlineLevel="0" collapsed="false">
      <c r="A269" s="0" t="s">
        <v>319</v>
      </c>
      <c r="B269" s="0" t="s">
        <v>111</v>
      </c>
      <c r="C269" s="0" t="s">
        <v>59</v>
      </c>
      <c r="D269" s="0" t="s">
        <v>187</v>
      </c>
      <c r="E269" s="0" t="n">
        <v>0.18545</v>
      </c>
      <c r="F269" s="0" t="n">
        <v>2.1805</v>
      </c>
      <c r="G269" s="0" t="n">
        <v>194</v>
      </c>
      <c r="H269" s="0" t="n">
        <v>144</v>
      </c>
      <c r="I269" s="0" t="s">
        <v>55</v>
      </c>
      <c r="J269" s="0" t="n">
        <v>0</v>
      </c>
      <c r="K269" s="0" t="n">
        <v>0.072745</v>
      </c>
      <c r="L269" s="0" t="n">
        <v>0.00862826400839348</v>
      </c>
      <c r="M269" s="1" t="n">
        <v>0.063758367343746</v>
      </c>
      <c r="N269" s="0" t="n">
        <v>0.265050896790742</v>
      </c>
      <c r="O269" s="0" t="n">
        <v>0.242758114976006</v>
      </c>
      <c r="P269" s="0" t="n">
        <v>0.200715621981595</v>
      </c>
      <c r="Q269" s="0" t="n">
        <v>0.266737299529612</v>
      </c>
      <c r="R269" s="11" t="n">
        <v>0.0952209254472</v>
      </c>
      <c r="S269" s="0" t="n">
        <v>0.0865926614388065</v>
      </c>
      <c r="T269" s="0" t="n">
        <v>0.000384912341828</v>
      </c>
      <c r="U269" s="0" t="n">
        <v>0.000427104295748</v>
      </c>
      <c r="V269" s="0" t="n">
        <v>0.000399465995729</v>
      </c>
      <c r="Z269" s="1"/>
      <c r="AA269" s="1"/>
      <c r="AB269" s="11"/>
      <c r="AJ269" s="0" t="n">
        <v>0.642151574457664</v>
      </c>
      <c r="AK269" s="0" t="n">
        <v>0.000441657949649</v>
      </c>
      <c r="AL269" s="0" t="n">
        <f aca="false">AK269-0.00004219195392</f>
        <v>0.000399465995729</v>
      </c>
      <c r="AM269" s="0" t="n">
        <v>0.364440882329525</v>
      </c>
      <c r="AN269" s="0" t="n">
        <v>0.382010440022716</v>
      </c>
      <c r="AO269" s="0" t="n">
        <v>0.000384912341828</v>
      </c>
      <c r="AP269" s="0" t="n">
        <v>0.642151574457664</v>
      </c>
      <c r="AQ269" s="0" t="n">
        <v>0.000441657949649</v>
      </c>
      <c r="AR269" s="0" t="n">
        <v>0.000399465995729</v>
      </c>
      <c r="AS269" s="0" t="n">
        <v>0.346113430106522</v>
      </c>
      <c r="AT269" s="0" t="n">
        <v>0.731141107873436</v>
      </c>
      <c r="AU269" s="3" t="n">
        <v>0.0525154470052551</v>
      </c>
      <c r="AV269" s="0" t="n">
        <v>0.0718049735478009</v>
      </c>
      <c r="AW269" s="0" t="n">
        <v>0</v>
      </c>
      <c r="AZ269" s="0" t="n">
        <v>0.294067059848676</v>
      </c>
      <c r="BA269" s="0" t="n">
        <v>0.272467059848676</v>
      </c>
      <c r="BC269" s="0" t="n">
        <v>0.222315621981595</v>
      </c>
      <c r="BD269" s="0" t="n">
        <v>0.200715621981595</v>
      </c>
      <c r="BE269" s="0" t="n">
        <v>0.0962106035901102</v>
      </c>
      <c r="BF269" s="3" t="n">
        <v>0.0530106035901102</v>
      </c>
      <c r="BG269" s="0" t="n">
        <v>0.0664936282734607</v>
      </c>
      <c r="BH269" s="0" t="n">
        <f aca="false">M269/BG269</f>
        <v>0.958864315262423</v>
      </c>
      <c r="BI269" s="0" t="n">
        <v>0.118437629646882</v>
      </c>
      <c r="BJ269" s="0" t="n">
        <v>0.479095671293965</v>
      </c>
      <c r="BK269" s="0" t="n">
        <v>0</v>
      </c>
      <c r="BL269" s="0" t="n">
        <v>0</v>
      </c>
      <c r="BM269" s="0" t="n">
        <v>0</v>
      </c>
      <c r="BN269" s="0" t="e">
        <f aca="false">#REF!/#REF!</f>
        <v>#REF!</v>
      </c>
      <c r="BO269" s="0" t="n">
        <v>0</v>
      </c>
    </row>
    <row r="270" customFormat="false" ht="12.8" hidden="false" customHeight="false" outlineLevel="0" collapsed="false">
      <c r="A270" s="0" t="s">
        <v>320</v>
      </c>
      <c r="B270" s="0" t="s">
        <v>111</v>
      </c>
      <c r="C270" s="21" t="s">
        <v>51</v>
      </c>
      <c r="D270" s="0" t="s">
        <v>187</v>
      </c>
      <c r="E270" s="0" t="n">
        <v>0.521025</v>
      </c>
      <c r="F270" s="0" t="n">
        <v>4.7425</v>
      </c>
      <c r="G270" s="0" t="n">
        <v>609</v>
      </c>
      <c r="H270" s="0" t="n">
        <v>561</v>
      </c>
      <c r="I270" s="0" t="s">
        <v>53</v>
      </c>
      <c r="J270" s="0" t="n">
        <v>0.107219182</v>
      </c>
      <c r="K270" s="0" t="n">
        <v>0.261035</v>
      </c>
      <c r="L270" s="0" t="n">
        <v>0.0306664616357922</v>
      </c>
      <c r="M270" s="1" t="n">
        <v>0.0432652671981253</v>
      </c>
      <c r="N270" s="0" t="n">
        <v>0.165854527533241</v>
      </c>
      <c r="O270" s="0" t="n">
        <v>0.343172644395456</v>
      </c>
      <c r="P270" s="0" t="n">
        <v>0.282423050580881</v>
      </c>
      <c r="Q270" s="0" t="n">
        <v>0.223243436160405</v>
      </c>
      <c r="R270" s="11" t="n">
        <v>0.288009705125</v>
      </c>
      <c r="S270" s="0" t="n">
        <v>0.257343243489208</v>
      </c>
      <c r="T270" s="0" t="n">
        <v>0.000209565911546</v>
      </c>
      <c r="U270" s="0" t="n">
        <v>0.000257254661546</v>
      </c>
      <c r="V270" s="0" t="n">
        <v>0.000294926026217</v>
      </c>
      <c r="Z270" s="1"/>
      <c r="AA270" s="1"/>
      <c r="AB270" s="11"/>
      <c r="AJ270" s="0" t="n">
        <v>2.24176417669667</v>
      </c>
      <c r="AK270" s="0" t="n">
        <v>0.000379200565689</v>
      </c>
      <c r="AL270" s="0" t="n">
        <f aca="false">AK270-0.00004768875</f>
        <v>0.000331511815689</v>
      </c>
      <c r="AM270" s="0" t="n">
        <v>0.621021818405731</v>
      </c>
      <c r="AN270" s="0" t="n">
        <v>6.24162321358853E-018</v>
      </c>
      <c r="AO270" s="0" t="n">
        <v>0.0002085090360055</v>
      </c>
      <c r="AP270" s="0" t="n">
        <v>1.93898627027153</v>
      </c>
      <c r="AQ270" s="0" t="n">
        <v>0.000342614776217</v>
      </c>
      <c r="AR270" s="0" t="n">
        <v>0.000294926026217</v>
      </c>
      <c r="AS270" s="0" t="n">
        <v>0.694734473162017</v>
      </c>
      <c r="AT270" s="0" t="n">
        <v>5.0988929749E-010</v>
      </c>
      <c r="AU270" s="3" t="n">
        <v>0.114185631739788</v>
      </c>
      <c r="AV270" s="0" t="n">
        <v>0.170059793198628</v>
      </c>
      <c r="AW270" s="0" t="n">
        <v>0.100796193368265</v>
      </c>
      <c r="AZ270" s="0" t="n">
        <v>0.278372964369258</v>
      </c>
      <c r="BA270" s="0" t="n">
        <v>0.255872964369258</v>
      </c>
      <c r="BC270" s="0" t="n">
        <v>0.304923050580881</v>
      </c>
      <c r="BD270" s="0" t="n">
        <v>0.282423050580881</v>
      </c>
      <c r="BE270" s="0" t="n">
        <v>0.158962141101179</v>
      </c>
      <c r="BF270" s="3" t="n">
        <v>0.113962141101179</v>
      </c>
      <c r="BG270" s="0" t="n">
        <v>0.058727557284638</v>
      </c>
      <c r="BH270" s="0" t="n">
        <f aca="false">M270/BG270</f>
        <v>0.73671150646415</v>
      </c>
      <c r="BI270" s="0" t="n">
        <v>2.77356773684044E-019</v>
      </c>
      <c r="BJ270" s="0" t="n">
        <v>0.539803365308244</v>
      </c>
      <c r="BK270" s="0" t="n">
        <v>0.1261418072424</v>
      </c>
      <c r="BL270" s="0" t="n">
        <v>0.123296193368265</v>
      </c>
      <c r="BM270" s="0" t="n">
        <v>0.100796193368265</v>
      </c>
      <c r="BN270" s="0" t="e">
        <f aca="false">#REF!/#REF!</f>
        <v>#REF!</v>
      </c>
      <c r="BO270" s="0" t="e">
        <f aca="false">BN270-0.0225</f>
        <v>#REF!</v>
      </c>
    </row>
    <row r="271" customFormat="false" ht="12.8" hidden="false" customHeight="false" outlineLevel="0" collapsed="false">
      <c r="A271" s="0" t="s">
        <v>321</v>
      </c>
      <c r="B271" s="0" t="s">
        <v>111</v>
      </c>
      <c r="C271" s="0" t="s">
        <v>51</v>
      </c>
      <c r="D271" s="0" t="s">
        <v>187</v>
      </c>
      <c r="E271" s="0" t="n">
        <v>0.2103</v>
      </c>
      <c r="F271" s="0" t="n">
        <v>2.83975</v>
      </c>
      <c r="G271" s="0" t="n">
        <v>121</v>
      </c>
      <c r="H271" s="0" t="n">
        <v>94</v>
      </c>
      <c r="I271" s="0" t="s">
        <v>53</v>
      </c>
      <c r="J271" s="0" t="n">
        <v>0.0291547868</v>
      </c>
      <c r="K271" s="0" t="n">
        <v>0.062841</v>
      </c>
      <c r="L271" s="0" t="n">
        <v>0.00604078518614061</v>
      </c>
      <c r="M271" s="1" t="n">
        <v>0.063162890871879</v>
      </c>
      <c r="N271" s="0" t="n">
        <v>0.251819587830699</v>
      </c>
      <c r="O271" s="0" t="n">
        <v>0.292689518786577</v>
      </c>
      <c r="P271" s="0" t="n">
        <v>0.202855797489732</v>
      </c>
      <c r="Q271" s="0" t="n">
        <v>0.258818429904489</v>
      </c>
      <c r="R271" s="11" t="n">
        <v>0.084573343675</v>
      </c>
      <c r="S271" s="0" t="n">
        <v>0.0785325584888594</v>
      </c>
      <c r="T271" s="0" t="n">
        <v>0.000325932237977</v>
      </c>
      <c r="U271" s="0" t="n">
        <v>0.000373620987977</v>
      </c>
      <c r="V271" s="0" t="n">
        <v>0.000389150384969</v>
      </c>
      <c r="Z271" s="1"/>
      <c r="AA271" s="1"/>
      <c r="AB271" s="11"/>
      <c r="AJ271" s="0" t="n">
        <v>1.39178155743751</v>
      </c>
      <c r="AK271" s="0" t="n">
        <v>0.00061621506859</v>
      </c>
      <c r="AL271" s="0" t="n">
        <f aca="false">AK271-0.00004768875</f>
        <v>0.00056852631859</v>
      </c>
      <c r="AM271" s="0" t="n">
        <v>0.373972731038131</v>
      </c>
      <c r="AN271" s="0" t="n">
        <v>0.000215258259039594</v>
      </c>
      <c r="AO271" s="0" t="n">
        <v>0.0003082017539115</v>
      </c>
      <c r="AP271" s="0" t="n">
        <v>0.639561385705854</v>
      </c>
      <c r="AQ271" s="0" t="n">
        <v>0.000436839134969</v>
      </c>
      <c r="AR271" s="0" t="n">
        <v>0.000389150384969</v>
      </c>
      <c r="AS271" s="0" t="n">
        <v>1.31451771770704</v>
      </c>
      <c r="AT271" s="0" t="n">
        <v>0.0471209117591034</v>
      </c>
      <c r="AU271" s="3" t="n">
        <v>0.075860470281053</v>
      </c>
      <c r="AV271" s="0" t="n">
        <v>0.132110603977637</v>
      </c>
      <c r="AW271" s="0" t="n">
        <v>0.777200412579313</v>
      </c>
      <c r="AZ271" s="0" t="n">
        <v>0.306203550290041</v>
      </c>
      <c r="BA271" s="0" t="n">
        <v>0.283703550290041</v>
      </c>
      <c r="BC271" s="0" t="n">
        <v>0.225355797489732</v>
      </c>
      <c r="BD271" s="0" t="n">
        <v>0.202855797489732</v>
      </c>
      <c r="BE271" s="0" t="n">
        <v>0.111573199096877</v>
      </c>
      <c r="BF271" s="3" t="n">
        <v>0.066573199096877</v>
      </c>
      <c r="BG271" s="0" t="n">
        <v>0.0857774872688774</v>
      </c>
      <c r="BH271" s="0" t="n">
        <f aca="false">M271/BG271</f>
        <v>0.736357439264794</v>
      </c>
      <c r="BI271" s="0" t="n">
        <v>0.000259190194608794</v>
      </c>
      <c r="BJ271" s="0" t="n">
        <v>0.550242639925626</v>
      </c>
      <c r="BK271" s="0" t="n">
        <v>0.702890730011439</v>
      </c>
      <c r="BL271" s="0" t="n">
        <v>0.799700412579313</v>
      </c>
      <c r="BM271" s="0" t="n">
        <v>0.777200412579313</v>
      </c>
      <c r="BN271" s="0" t="e">
        <f aca="false">#REF!/#REF!</f>
        <v>#REF!</v>
      </c>
      <c r="BO271" s="0" t="e">
        <f aca="false">BN271-0.0225</f>
        <v>#REF!</v>
      </c>
    </row>
    <row r="272" customFormat="false" ht="12.8" hidden="false" customHeight="false" outlineLevel="0" collapsed="false">
      <c r="A272" s="0" t="s">
        <v>322</v>
      </c>
      <c r="B272" s="0" t="s">
        <v>111</v>
      </c>
      <c r="C272" s="21" t="s">
        <v>51</v>
      </c>
      <c r="D272" s="0" t="s">
        <v>187</v>
      </c>
      <c r="E272" s="0" t="n">
        <v>0.277925</v>
      </c>
      <c r="F272" s="0" t="n">
        <v>2.734</v>
      </c>
      <c r="G272" s="0" t="n">
        <v>317</v>
      </c>
      <c r="H272" s="0" t="n">
        <v>268</v>
      </c>
      <c r="I272" s="0" t="s">
        <v>53</v>
      </c>
      <c r="J272" s="0" t="n">
        <v>0.0432350151</v>
      </c>
      <c r="K272" s="0" t="n">
        <v>0.173066</v>
      </c>
      <c r="L272" s="0" t="n">
        <v>0.0159569162002691</v>
      </c>
      <c r="M272" s="1" t="n">
        <v>0.052708122901547</v>
      </c>
      <c r="N272" s="0" t="n">
        <v>0.213619564438848</v>
      </c>
      <c r="O272" s="0" t="n">
        <v>0.315039907154367</v>
      </c>
      <c r="P272" s="0" t="n">
        <v>0.264977710754128</v>
      </c>
      <c r="Q272" s="0" t="n">
        <v>0.243646675945111</v>
      </c>
      <c r="R272" s="11" t="n">
        <v>0.15798929925</v>
      </c>
      <c r="S272" s="0" t="n">
        <v>0.142032383049731</v>
      </c>
      <c r="T272" s="0" t="n">
        <v>0.000281984311654</v>
      </c>
      <c r="U272" s="0" t="n">
        <v>0.000329673061654</v>
      </c>
      <c r="V272" s="0" t="n">
        <v>0.0002991517376475</v>
      </c>
      <c r="Z272" s="1"/>
      <c r="AA272" s="1"/>
      <c r="AB272" s="11"/>
      <c r="AJ272" s="0" t="n">
        <v>0.640176148253818</v>
      </c>
      <c r="AK272" s="0" t="n">
        <v>0.000362338079703</v>
      </c>
      <c r="AL272" s="0" t="n">
        <f aca="false">AK272-0.00004768875</f>
        <v>0.000314649329703</v>
      </c>
      <c r="AM272" s="0" t="n">
        <v>0.886883181421048</v>
      </c>
      <c r="AN272" s="0" t="n">
        <v>0.299281475555133</v>
      </c>
      <c r="AO272" s="0" t="n">
        <v>0.000281984311654</v>
      </c>
      <c r="AP272" s="0" t="n">
        <v>0.640176148253818</v>
      </c>
      <c r="AQ272" s="0" t="n">
        <v>0.0003468404876475</v>
      </c>
      <c r="AR272" s="0" t="n">
        <v>0.0002991517376475</v>
      </c>
      <c r="AS272" s="0" t="n">
        <v>0.823801157245368</v>
      </c>
      <c r="AT272" s="0" t="n">
        <v>0.817019928170194</v>
      </c>
      <c r="AU272" s="3" t="n">
        <v>0.075361797858279</v>
      </c>
      <c r="AV272" s="0" t="n">
        <v>0.00924105955437224</v>
      </c>
      <c r="AW272" s="0" t="n">
        <v>0.118412838490769</v>
      </c>
      <c r="AZ272" s="0" t="n">
        <v>0.241106308063084</v>
      </c>
      <c r="BA272" s="0" t="n">
        <v>0.218606308063084</v>
      </c>
      <c r="BC272" s="0" t="n">
        <v>0.287477710754128</v>
      </c>
      <c r="BD272" s="0" t="n">
        <v>0.264977710754128</v>
      </c>
      <c r="BE272" s="0" t="n">
        <v>0.11005147697165</v>
      </c>
      <c r="BF272" s="3" t="n">
        <v>0.06505147697165</v>
      </c>
      <c r="BG272" s="0" t="n">
        <v>0.0599302694655217</v>
      </c>
      <c r="BH272" s="0" t="n">
        <f aca="false">M272/BG272</f>
        <v>0.879490837795588</v>
      </c>
      <c r="BI272" s="0" t="n">
        <v>0.00908539080164138</v>
      </c>
      <c r="BJ272" s="0" t="n">
        <v>0.370845344977468</v>
      </c>
      <c r="BK272" s="0" t="n">
        <v>0.0655482213663564</v>
      </c>
      <c r="BL272" s="0" t="n">
        <v>0.140912838490769</v>
      </c>
      <c r="BM272" s="0" t="n">
        <v>0.118412838490769</v>
      </c>
      <c r="BN272" s="0" t="e">
        <f aca="false">#REF!/#REF!</f>
        <v>#REF!</v>
      </c>
      <c r="BO272" s="0" t="e">
        <f aca="false">BN272-0.0225</f>
        <v>#REF!</v>
      </c>
    </row>
    <row r="273" customFormat="false" ht="12.8" hidden="false" customHeight="false" outlineLevel="0" collapsed="false">
      <c r="A273" s="0" t="s">
        <v>323</v>
      </c>
      <c r="B273" s="0" t="s">
        <v>111</v>
      </c>
      <c r="C273" s="0" t="s">
        <v>59</v>
      </c>
      <c r="D273" s="0" t="s">
        <v>187</v>
      </c>
      <c r="E273" s="0" t="n">
        <v>0.121225</v>
      </c>
      <c r="F273" s="0" t="n">
        <v>1.622</v>
      </c>
      <c r="G273" s="0" t="n">
        <v>248</v>
      </c>
      <c r="H273" s="0" t="n">
        <v>215</v>
      </c>
      <c r="I273" s="0" t="s">
        <v>53</v>
      </c>
      <c r="J273" s="0" t="n">
        <v>0</v>
      </c>
      <c r="K273" s="0" t="n">
        <v>0.080962</v>
      </c>
      <c r="L273" s="0" t="n">
        <v>0.0110323283627557</v>
      </c>
      <c r="M273" s="1" t="n">
        <v>0.0374571514358756</v>
      </c>
      <c r="N273" s="0" t="n">
        <v>0.215362894675812</v>
      </c>
      <c r="O273" s="0" t="n">
        <v>0.246903300082685</v>
      </c>
      <c r="P273" s="0" t="n">
        <v>0.186820688257901</v>
      </c>
      <c r="Q273" s="0" t="n">
        <v>0.232259760072628</v>
      </c>
      <c r="R273" s="11" t="n">
        <v>0.0826060708976</v>
      </c>
      <c r="S273" s="0" t="n">
        <v>0.0715737425348443</v>
      </c>
      <c r="T273" s="0" t="n">
        <v>0.000179052613924</v>
      </c>
      <c r="U273" s="0" t="n">
        <v>0.000221244567844</v>
      </c>
      <c r="V273" s="0" t="n">
        <v>0.000197186932398</v>
      </c>
      <c r="Z273" s="1"/>
      <c r="AA273" s="1"/>
      <c r="AB273" s="11"/>
      <c r="AJ273" s="0" t="n">
        <v>1.13411542468061</v>
      </c>
      <c r="AK273" s="0" t="n">
        <v>0.0002500986444825</v>
      </c>
      <c r="AL273" s="0" t="n">
        <f aca="false">AK273-0.00004219195392</f>
        <v>0.0002079066905625</v>
      </c>
      <c r="AM273" s="0" t="n">
        <v>0.484751927831833</v>
      </c>
      <c r="AN273" s="0" t="n">
        <v>0.0125827596841658</v>
      </c>
      <c r="AO273" s="0" t="n">
        <v>0.000176534950735</v>
      </c>
      <c r="AP273" s="0" t="n">
        <v>0.811934884164738</v>
      </c>
      <c r="AQ273" s="0" t="n">
        <v>0.000239378886318</v>
      </c>
      <c r="AR273" s="0" t="n">
        <v>0.000197186932398</v>
      </c>
      <c r="AS273" s="0" t="n">
        <v>0.598829005629256</v>
      </c>
      <c r="AT273" s="0" t="n">
        <v>0.0782960190434953</v>
      </c>
      <c r="AU273" s="3" t="n">
        <v>0.065221759509833</v>
      </c>
      <c r="AV273" s="0" t="n">
        <v>0.345551225891015</v>
      </c>
      <c r="AW273" s="0" t="n">
        <v>0</v>
      </c>
      <c r="AZ273" s="0" t="n">
        <v>0.369520298432963</v>
      </c>
      <c r="BA273" s="0" t="n">
        <v>0.347920298432963</v>
      </c>
      <c r="BC273" s="0" t="n">
        <v>0.208420688257901</v>
      </c>
      <c r="BD273" s="0" t="n">
        <v>0.186820688257901</v>
      </c>
      <c r="BE273" s="0" t="n">
        <v>0.105789745659981</v>
      </c>
      <c r="BF273" s="3" t="n">
        <v>0.062589745659981</v>
      </c>
      <c r="BG273" s="0" t="n">
        <v>0.0470995020703965</v>
      </c>
      <c r="BH273" s="0" t="n">
        <f aca="false">M273/BG273</f>
        <v>0.795277015453176</v>
      </c>
      <c r="BI273" s="0" t="n">
        <v>0.00168067715463548</v>
      </c>
      <c r="BJ273" s="0" t="n">
        <v>0.555644570544311</v>
      </c>
      <c r="BK273" s="0" t="n">
        <v>0</v>
      </c>
      <c r="BL273" s="0" t="n">
        <v>0</v>
      </c>
      <c r="BM273" s="0" t="n">
        <v>0</v>
      </c>
      <c r="BN273" s="0" t="e">
        <f aca="false">#REF!/#REF!</f>
        <v>#REF!</v>
      </c>
      <c r="BO273" s="0" t="n">
        <v>0</v>
      </c>
    </row>
    <row r="274" customFormat="false" ht="12.8" hidden="false" customHeight="false" outlineLevel="0" collapsed="false">
      <c r="A274" s="0" t="s">
        <v>324</v>
      </c>
      <c r="B274" s="0" t="s">
        <v>111</v>
      </c>
      <c r="C274" s="0" t="s">
        <v>51</v>
      </c>
      <c r="D274" s="0" t="s">
        <v>187</v>
      </c>
      <c r="E274" s="0" t="n">
        <v>0.50805</v>
      </c>
      <c r="F274" s="0" t="n">
        <v>5.772</v>
      </c>
      <c r="G274" s="0" t="n">
        <v>684</v>
      </c>
      <c r="H274" s="0" t="n">
        <v>625</v>
      </c>
      <c r="I274" s="0" t="s">
        <v>55</v>
      </c>
      <c r="J274" s="0" t="n">
        <v>0.067886062</v>
      </c>
      <c r="K274" s="0" t="n">
        <v>0.3517856</v>
      </c>
      <c r="L274" s="0" t="n">
        <v>0.0344315039994651</v>
      </c>
      <c r="M274" s="1" t="n">
        <v>0.0412133613973182</v>
      </c>
      <c r="N274" s="0" t="n">
        <v>0.209458608836258</v>
      </c>
      <c r="O274" s="0" t="n">
        <v>0.579625193475475</v>
      </c>
      <c r="P274" s="0" t="n">
        <v>0.467640284786503</v>
      </c>
      <c r="Q274" s="0" t="n">
        <v>0.477845149813094</v>
      </c>
      <c r="R274" s="11" t="n">
        <v>0.2958251707</v>
      </c>
      <c r="S274" s="0" t="n">
        <v>0.261393666700535</v>
      </c>
      <c r="T274" s="0" t="n">
        <v>0.000210115713956</v>
      </c>
      <c r="U274" s="0" t="n">
        <v>0.000257804463956</v>
      </c>
      <c r="V274" s="0" t="n">
        <v>0.00027078133681</v>
      </c>
      <c r="Z274" s="1"/>
      <c r="AA274" s="1"/>
      <c r="AB274" s="11"/>
      <c r="AJ274" s="0" t="n">
        <v>2.21401027208847</v>
      </c>
      <c r="AK274" s="0" t="n">
        <v>0.000440807416008</v>
      </c>
      <c r="AL274" s="0" t="n">
        <f aca="false">AK274-0.00004768875</f>
        <v>0.000393118666008</v>
      </c>
      <c r="AM274" s="0" t="n">
        <v>0.835876208638141</v>
      </c>
      <c r="AN274" s="0" t="n">
        <v>3.09875811446376E-028</v>
      </c>
      <c r="AO274" s="0" t="n">
        <v>0.000204102139328</v>
      </c>
      <c r="AP274" s="0" t="n">
        <v>1.72244292055318</v>
      </c>
      <c r="AQ274" s="0" t="n">
        <v>0.00031847008681</v>
      </c>
      <c r="AR274" s="0" t="n">
        <v>0.00027078133681</v>
      </c>
      <c r="AS274" s="0" t="n">
        <v>0.771190504060378</v>
      </c>
      <c r="AT274" s="0" t="n">
        <v>2.71672825965E-009</v>
      </c>
      <c r="AU274" s="3" t="n">
        <v>0.111034643614847</v>
      </c>
      <c r="AV274" s="0" t="n">
        <v>0.000172884292610412</v>
      </c>
      <c r="AW274" s="0" t="n">
        <v>1.55524964384697</v>
      </c>
      <c r="AZ274" s="0" t="n">
        <v>0.160142924305827</v>
      </c>
      <c r="BA274" s="0" t="n">
        <v>0.137642924305827</v>
      </c>
      <c r="BC274" s="0" t="n">
        <v>0.490140284786503</v>
      </c>
      <c r="BD274" s="0" t="n">
        <v>0.467640284786503</v>
      </c>
      <c r="BE274" s="0" t="n">
        <v>0.139825890908634</v>
      </c>
      <c r="BF274" s="3" t="n">
        <v>0.094825890908634</v>
      </c>
      <c r="BG274" s="0" t="n">
        <v>0.0611801683367743</v>
      </c>
      <c r="BH274" s="0" t="n">
        <f aca="false">M274/BG274</f>
        <v>0.673639228490739</v>
      </c>
      <c r="BI274" s="0" t="n">
        <v>1.43505396299498E-023</v>
      </c>
      <c r="BJ274" s="0" t="n">
        <v>0.298104716704948</v>
      </c>
      <c r="BK274" s="0" t="n">
        <v>1.4390778794809</v>
      </c>
      <c r="BL274" s="0" t="n">
        <v>1.57774964384697</v>
      </c>
      <c r="BM274" s="0" t="n">
        <v>1.55524964384697</v>
      </c>
      <c r="BN274" s="0" t="e">
        <f aca="false">#REF!/#REF!</f>
        <v>#REF!</v>
      </c>
      <c r="BO274" s="0" t="e">
        <f aca="false">BN274-0.0225</f>
        <v>#REF!</v>
      </c>
    </row>
    <row r="275" customFormat="false" ht="12.8" hidden="false" customHeight="false" outlineLevel="0" collapsed="false">
      <c r="A275" s="0" t="s">
        <v>325</v>
      </c>
      <c r="B275" s="0" t="s">
        <v>111</v>
      </c>
      <c r="C275" s="21" t="s">
        <v>59</v>
      </c>
      <c r="D275" s="0" t="s">
        <v>187</v>
      </c>
      <c r="E275" s="0" t="n">
        <v>0.160975</v>
      </c>
      <c r="F275" s="0" t="n">
        <v>2.064</v>
      </c>
      <c r="G275" s="0" t="n">
        <v>189</v>
      </c>
      <c r="H275" s="0" t="n">
        <v>159</v>
      </c>
      <c r="I275" s="0" t="s">
        <v>53</v>
      </c>
      <c r="J275" s="0" t="n">
        <v>0</v>
      </c>
      <c r="K275" s="0" t="n">
        <v>0.120655</v>
      </c>
      <c r="L275" s="0" t="n">
        <v>0.0084000960099582</v>
      </c>
      <c r="M275" s="1" t="n">
        <v>0.0490116228510082</v>
      </c>
      <c r="N275" s="0" t="n">
        <v>0.198459778684047</v>
      </c>
      <c r="O275" s="0" t="n">
        <v>0.35702099381558</v>
      </c>
      <c r="P275" s="0" t="n">
        <v>0.235131903694767</v>
      </c>
      <c r="Q275" s="0" t="n">
        <v>0.22397421947384</v>
      </c>
      <c r="R275" s="11" t="n">
        <v>0.092451583456</v>
      </c>
      <c r="S275" s="0" t="n">
        <v>0.0840514874460418</v>
      </c>
      <c r="T275" s="0" t="n">
        <v>0.000194963396799</v>
      </c>
      <c r="U275" s="0" t="n">
        <v>0.000237155350719</v>
      </c>
      <c r="V275" s="0" t="n">
        <v>0.000295955146571</v>
      </c>
      <c r="Z275" s="1"/>
      <c r="AA275" s="1"/>
      <c r="AB275" s="11"/>
      <c r="AJ275" s="0" t="n">
        <v>1.07230298485214</v>
      </c>
      <c r="AK275" s="0" t="n">
        <v>0.000373280850887</v>
      </c>
      <c r="AL275" s="0" t="n">
        <f aca="false">AK275-0.00004219195392</f>
        <v>0.000331088896967</v>
      </c>
      <c r="AM275" s="0" t="n">
        <v>0.32518352019227</v>
      </c>
      <c r="AN275" s="0" t="n">
        <v>4.85526125056529E-006</v>
      </c>
      <c r="AO275" s="0" t="n">
        <v>0.0001846443449775</v>
      </c>
      <c r="AP275" s="0" t="n">
        <v>1.18321695755118</v>
      </c>
      <c r="AQ275" s="0" t="n">
        <v>0.000338147100491</v>
      </c>
      <c r="AR275" s="0" t="n">
        <v>0.000295955146571</v>
      </c>
      <c r="AS275" s="0" t="n">
        <v>0.44883393199129</v>
      </c>
      <c r="AT275" s="0" t="n">
        <v>0.000448605174446284</v>
      </c>
      <c r="AU275" s="3" t="n">
        <v>0.070242231464166</v>
      </c>
      <c r="AV275" s="0" t="n">
        <v>0.0439540122393631</v>
      </c>
      <c r="AW275" s="0" t="n">
        <v>0</v>
      </c>
      <c r="AZ275" s="0" t="n">
        <v>0.190098615627406</v>
      </c>
      <c r="BA275" s="0" t="n">
        <v>0.168498615627406</v>
      </c>
      <c r="BC275" s="0" t="n">
        <v>0.256731903694767</v>
      </c>
      <c r="BD275" s="0" t="n">
        <v>0.235131903694767</v>
      </c>
      <c r="BE275" s="0" t="n">
        <v>0.104847670192387</v>
      </c>
      <c r="BF275" s="3" t="n">
        <v>0.061647670192387</v>
      </c>
      <c r="BG275" s="0" t="n">
        <v>0.064639026580137</v>
      </c>
      <c r="BH275" s="0" t="n">
        <f aca="false">M275/BG275</f>
        <v>0.758235781757101</v>
      </c>
      <c r="BI275" s="0" t="n">
        <v>1.3757381105643E-006</v>
      </c>
      <c r="BJ275" s="0" t="n">
        <v>0.413065252175753</v>
      </c>
      <c r="BK275" s="0" t="n">
        <v>0</v>
      </c>
      <c r="BL275" s="0" t="n">
        <v>0</v>
      </c>
      <c r="BM275" s="0" t="n">
        <v>0</v>
      </c>
      <c r="BN275" s="0" t="e">
        <f aca="false">#REF!/#REF!</f>
        <v>#REF!</v>
      </c>
      <c r="BO275" s="0" t="n">
        <v>0</v>
      </c>
    </row>
    <row r="276" customFormat="false" ht="12.8" hidden="false" customHeight="false" outlineLevel="0" collapsed="false">
      <c r="A276" s="0" t="s">
        <v>326</v>
      </c>
      <c r="B276" s="0" t="s">
        <v>111</v>
      </c>
      <c r="C276" s="21" t="s">
        <v>51</v>
      </c>
      <c r="D276" s="0" t="s">
        <v>187</v>
      </c>
      <c r="E276" s="0" t="n">
        <v>0.16825</v>
      </c>
      <c r="F276" s="0" t="n">
        <v>1.94725</v>
      </c>
      <c r="G276" s="0" t="n">
        <v>122</v>
      </c>
      <c r="H276" s="0" t="n">
        <v>89</v>
      </c>
      <c r="I276" s="0" t="s">
        <v>53</v>
      </c>
      <c r="J276" s="0" t="n">
        <v>0.0245645512</v>
      </c>
      <c r="K276" s="0" t="n">
        <v>0.096237</v>
      </c>
      <c r="L276" s="0" t="n">
        <v>0.00614159847470416</v>
      </c>
      <c r="M276" s="1" t="n">
        <v>0.056351819342637</v>
      </c>
      <c r="N276" s="0" t="n">
        <v>0.172604450789925</v>
      </c>
      <c r="O276" s="0" t="n">
        <v>0.260315470604303</v>
      </c>
      <c r="P276" s="0" t="n">
        <v>0.202346995415899</v>
      </c>
      <c r="Q276" s="0" t="n">
        <v>0.182193449286161</v>
      </c>
      <c r="R276" s="11" t="n">
        <v>0.0607073562275</v>
      </c>
      <c r="S276" s="0" t="n">
        <v>0.0545657577527958</v>
      </c>
      <c r="T276" s="0" t="n">
        <v>0.00024703940115</v>
      </c>
      <c r="U276" s="0" t="n">
        <v>0.00029472815115</v>
      </c>
      <c r="V276" s="0" t="n">
        <v>0.000404536648487</v>
      </c>
      <c r="Z276" s="1"/>
      <c r="AA276" s="1"/>
      <c r="AB276" s="11"/>
      <c r="AJ276" s="0" t="n">
        <v>0.498557278496156</v>
      </c>
      <c r="AK276" s="0" t="n">
        <v>0.000452225398487</v>
      </c>
      <c r="AL276" s="0" t="n">
        <f aca="false">AK276-0.00004768875</f>
        <v>0.000404536648487</v>
      </c>
      <c r="AM276" s="0" t="n">
        <v>0.257128301223153</v>
      </c>
      <c r="AN276" s="0" t="n">
        <v>0.0115814286908744</v>
      </c>
      <c r="AO276" s="0" t="n">
        <v>0.00024703940115</v>
      </c>
      <c r="AP276" s="0" t="n">
        <v>0.498557278496156</v>
      </c>
      <c r="AQ276" s="0" t="n">
        <v>0.000452225398487</v>
      </c>
      <c r="AR276" s="0" t="n">
        <v>0.000404536648487</v>
      </c>
      <c r="AS276" s="0" t="n">
        <v>0.257128301223153</v>
      </c>
      <c r="AT276" s="0" t="n">
        <v>0.0203487602868408</v>
      </c>
      <c r="AU276" s="3" t="n">
        <v>0.0440823406887471</v>
      </c>
      <c r="AV276" s="0" t="n">
        <v>0.434147493341563</v>
      </c>
      <c r="AW276" s="0" t="n">
        <v>0.0740016499233679</v>
      </c>
      <c r="AZ276" s="0" t="n">
        <v>0.21400660456227</v>
      </c>
      <c r="BA276" s="0" t="n">
        <v>0.19150660456227</v>
      </c>
      <c r="BC276" s="0" t="n">
        <v>0.224846995415899</v>
      </c>
      <c r="BD276" s="0" t="n">
        <v>0.202346995415899</v>
      </c>
      <c r="BE276" s="0" t="n">
        <v>0.0852112388576199</v>
      </c>
      <c r="BF276" s="3" t="n">
        <v>0.0402112388576199</v>
      </c>
      <c r="BG276" s="0" t="n">
        <v>0.0671948883651127</v>
      </c>
      <c r="BH276" s="0" t="n">
        <f aca="false">M276/BG276</f>
        <v>0.838632531636062</v>
      </c>
      <c r="BI276" s="0" t="n">
        <v>0.0307855348090138</v>
      </c>
      <c r="BJ276" s="0" t="n">
        <v>0.433771063703209</v>
      </c>
      <c r="BK276" s="0" t="n">
        <v>0.0379835182139137</v>
      </c>
      <c r="BL276" s="0" t="n">
        <v>0.0965016499233679</v>
      </c>
      <c r="BM276" s="0" t="n">
        <v>0.0740016499233679</v>
      </c>
      <c r="BN276" s="0" t="e">
        <f aca="false">#REF!/#REF!</f>
        <v>#REF!</v>
      </c>
      <c r="BO276" s="0" t="e">
        <f aca="false">BN276-0.0225</f>
        <v>#REF!</v>
      </c>
    </row>
    <row r="277" customFormat="false" ht="12.8" hidden="false" customHeight="false" outlineLevel="0" collapsed="false">
      <c r="A277" s="0" t="s">
        <v>327</v>
      </c>
      <c r="B277" s="0" t="s">
        <v>111</v>
      </c>
      <c r="C277" s="0" t="s">
        <v>51</v>
      </c>
      <c r="D277" s="0" t="s">
        <v>187</v>
      </c>
      <c r="E277" s="0" t="n">
        <v>0.3216</v>
      </c>
      <c r="F277" s="0" t="n">
        <v>3.51575</v>
      </c>
      <c r="G277" s="0" t="n">
        <v>355</v>
      </c>
      <c r="H277" s="0" t="n">
        <v>316</v>
      </c>
      <c r="I277" s="0" t="s">
        <v>55</v>
      </c>
      <c r="J277" s="0" t="n">
        <v>0.0692196712</v>
      </c>
      <c r="K277" s="0" t="n">
        <v>0.111722</v>
      </c>
      <c r="L277" s="0" t="n">
        <v>0.0178735931038423</v>
      </c>
      <c r="M277" s="1" t="n">
        <v>0.05615094401041</v>
      </c>
      <c r="N277" s="0" t="n">
        <v>0.226827694147418</v>
      </c>
      <c r="O277" s="0" t="n">
        <v>0.365208416228254</v>
      </c>
      <c r="P277" s="0" t="n">
        <v>0.267840015561572</v>
      </c>
      <c r="Q277" s="0" t="n">
        <v>0.234846002711997</v>
      </c>
      <c r="R277" s="11" t="n">
        <v>0.218393432</v>
      </c>
      <c r="S277" s="0" t="n">
        <v>0.200519838896158</v>
      </c>
      <c r="T277" s="0" t="n">
        <v>0.000233474097744</v>
      </c>
      <c r="U277" s="0" t="n">
        <v>0.000281162847744</v>
      </c>
      <c r="V277" s="0" t="n">
        <v>0.000323673650408</v>
      </c>
      <c r="Z277" s="1"/>
      <c r="AA277" s="1"/>
      <c r="AB277" s="11"/>
      <c r="AJ277" s="0" t="n">
        <v>4.44389593205842</v>
      </c>
      <c r="AK277" s="0" t="n">
        <v>0.000560193400048</v>
      </c>
      <c r="AL277" s="0" t="n">
        <f aca="false">AK277-0.00004768875</f>
        <v>0.000512504650048</v>
      </c>
      <c r="AM277" s="0" t="n">
        <v>0.529217262397302</v>
      </c>
      <c r="AN277" s="0" t="n">
        <v>1.276598E-014</v>
      </c>
      <c r="AO277" s="0" t="n">
        <v>0.000205329046218</v>
      </c>
      <c r="AP277" s="0" t="n">
        <v>1.38838145689366</v>
      </c>
      <c r="AQ277" s="0" t="n">
        <v>0.000371362400408</v>
      </c>
      <c r="AR277" s="0" t="n">
        <v>0.000323673650408</v>
      </c>
      <c r="AS277" s="0" t="n">
        <v>1.33298808816339</v>
      </c>
      <c r="AT277" s="0" t="n">
        <v>2.27630986804584E-006</v>
      </c>
      <c r="AU277" s="3" t="n">
        <v>0.09393584478774</v>
      </c>
      <c r="AV277" s="0" t="n">
        <v>0.279584978423018</v>
      </c>
      <c r="AW277" s="0" t="n">
        <v>0.163689968317988</v>
      </c>
      <c r="AZ277" s="0" t="n">
        <v>0.283336921027402</v>
      </c>
      <c r="BA277" s="0" t="n">
        <v>0.260836921027402</v>
      </c>
      <c r="BC277" s="0" t="n">
        <v>0.290340015561572</v>
      </c>
      <c r="BD277" s="0" t="n">
        <v>0.267840015561572</v>
      </c>
      <c r="BE277" s="0" t="n">
        <v>0.144415432933633</v>
      </c>
      <c r="BF277" s="3" t="n">
        <v>0.099415432933633</v>
      </c>
      <c r="BG277" s="0" t="n">
        <v>0.0775151218260578</v>
      </c>
      <c r="BH277" s="0" t="n">
        <f aca="false">M277/BG277</f>
        <v>0.724386967183145</v>
      </c>
      <c r="BI277" s="0" t="n">
        <v>9.73337931247E-009</v>
      </c>
      <c r="BJ277" s="0" t="n">
        <v>0.485101118911724</v>
      </c>
      <c r="BK277" s="0" t="n">
        <v>0.155286321264511</v>
      </c>
      <c r="BL277" s="0" t="n">
        <v>0.186189968317988</v>
      </c>
      <c r="BM277" s="0" t="n">
        <v>0.163689968317988</v>
      </c>
      <c r="BN277" s="0" t="e">
        <f aca="false">#REF!/#REF!</f>
        <v>#REF!</v>
      </c>
      <c r="BO277" s="0" t="e">
        <f aca="false">BN277-0.0225</f>
        <v>#REF!</v>
      </c>
    </row>
    <row r="278" customFormat="false" ht="12.8" hidden="false" customHeight="false" outlineLevel="0" collapsed="false">
      <c r="A278" s="0" t="s">
        <v>328</v>
      </c>
      <c r="B278" s="0" t="s">
        <v>111</v>
      </c>
      <c r="C278" s="0" t="s">
        <v>59</v>
      </c>
      <c r="D278" s="0" t="s">
        <v>187</v>
      </c>
      <c r="E278" s="0" t="n">
        <v>0.059595</v>
      </c>
      <c r="F278" s="0" t="n">
        <v>0.980925</v>
      </c>
      <c r="G278" s="0" t="n">
        <v>59</v>
      </c>
      <c r="H278" s="0" t="n">
        <v>38</v>
      </c>
      <c r="I278" s="0" t="s">
        <v>53</v>
      </c>
      <c r="J278" s="0" t="n">
        <v>0</v>
      </c>
      <c r="K278" s="0" t="n">
        <v>0.045972</v>
      </c>
      <c r="L278" s="0" t="n">
        <v>0.00253443004469931</v>
      </c>
      <c r="M278" s="1" t="n">
        <v>0.060392230849152</v>
      </c>
      <c r="N278" s="0" t="n">
        <v>0.135829966815087</v>
      </c>
      <c r="O278" s="0" t="n">
        <v>0.183961707435759</v>
      </c>
      <c r="P278" s="0" t="n">
        <v>0.151986463676787</v>
      </c>
      <c r="Q278" s="0" t="n">
        <v>0.14186593602103</v>
      </c>
      <c r="R278" s="11" t="n">
        <v>0.022513216764</v>
      </c>
      <c r="S278" s="0" t="n">
        <v>0.0199787867193007</v>
      </c>
      <c r="T278" s="0" t="n">
        <v>-4.219195392E-005</v>
      </c>
      <c r="U278" s="0" t="n">
        <v>0</v>
      </c>
      <c r="V278" s="0" t="n">
        <v>0.0002152671916875</v>
      </c>
      <c r="Z278" s="1"/>
      <c r="AA278" s="1"/>
      <c r="AB278" s="11"/>
      <c r="AJ278" s="0" t="n">
        <v>100</v>
      </c>
      <c r="AK278" s="0" t="n">
        <v>0.000289769745164</v>
      </c>
      <c r="AL278" s="0" t="n">
        <f aca="false">AK278-0.00004219195392</f>
        <v>0.000247577791244</v>
      </c>
      <c r="AM278" s="0" t="n">
        <v>0.585006055627813</v>
      </c>
      <c r="AN278" s="0" t="n">
        <v>0</v>
      </c>
      <c r="AO278" s="0" t="n">
        <v>-4.219195392E-005</v>
      </c>
      <c r="AP278" s="0" t="n">
        <v>100</v>
      </c>
      <c r="AQ278" s="0" t="n">
        <v>0.0002574591456075</v>
      </c>
      <c r="AR278" s="0" t="n">
        <v>0.0002152671916875</v>
      </c>
      <c r="AS278" s="0" t="n">
        <v>1.21609842669069E-015</v>
      </c>
      <c r="AT278" s="0" t="n">
        <v>0</v>
      </c>
      <c r="AU278" s="3" t="n">
        <v>0.040677819129914</v>
      </c>
      <c r="AV278" s="0" t="n">
        <v>0.0827372093127013</v>
      </c>
      <c r="AW278" s="0" t="n">
        <v>0</v>
      </c>
      <c r="AZ278" s="0" t="n">
        <v>0.236497159895287</v>
      </c>
      <c r="BA278" s="0" t="n">
        <v>0.214897159895287</v>
      </c>
      <c r="BC278" s="0" t="n">
        <v>0.173586463676787</v>
      </c>
      <c r="BD278" s="0" t="n">
        <v>0.151986463676787</v>
      </c>
      <c r="BE278" s="0" t="n">
        <v>0.0723355086194635</v>
      </c>
      <c r="BF278" s="3" t="n">
        <v>0.0291355086194635</v>
      </c>
      <c r="BG278" s="0" t="n">
        <v>0.0592015606995067</v>
      </c>
      <c r="BH278" s="0" t="n">
        <f aca="false">M278/BG278</f>
        <v>1.02011214122697</v>
      </c>
      <c r="BI278" s="0" t="n">
        <v>0.284162476023553</v>
      </c>
      <c r="BJ278" s="0" t="n">
        <v>0.459408995084753</v>
      </c>
      <c r="BK278" s="0" t="n">
        <v>0</v>
      </c>
      <c r="BL278" s="0" t="n">
        <v>0</v>
      </c>
      <c r="BM278" s="0" t="n">
        <v>0</v>
      </c>
      <c r="BN278" s="0" t="e">
        <f aca="false">#REF!/#REF!</f>
        <v>#REF!</v>
      </c>
      <c r="BO278" s="0" t="n">
        <v>0</v>
      </c>
    </row>
    <row r="279" customFormat="false" ht="12.8" hidden="false" customHeight="false" outlineLevel="0" collapsed="false">
      <c r="A279" s="0" t="s">
        <v>329</v>
      </c>
      <c r="B279" s="0" t="s">
        <v>111</v>
      </c>
      <c r="C279" s="0" t="s">
        <v>59</v>
      </c>
      <c r="D279" s="0" t="s">
        <v>187</v>
      </c>
      <c r="E279" s="0" t="n">
        <v>0.154275</v>
      </c>
      <c r="F279" s="0" t="n">
        <v>2.20825</v>
      </c>
      <c r="G279" s="0" t="n">
        <v>224</v>
      </c>
      <c r="H279" s="0" t="n">
        <v>187</v>
      </c>
      <c r="I279" s="0" t="s">
        <v>53</v>
      </c>
      <c r="J279" s="0" t="n">
        <v>0</v>
      </c>
      <c r="K279" s="0" t="n">
        <v>0.064941</v>
      </c>
      <c r="L279" s="0" t="n">
        <v>0.00996259443796131</v>
      </c>
      <c r="M279" s="1" t="n">
        <v>0.0443614820364642</v>
      </c>
      <c r="N279" s="0" t="n">
        <v>0.199375491845438</v>
      </c>
      <c r="O279" s="0" t="n">
        <v>0.280470829570244</v>
      </c>
      <c r="P279" s="0" t="n">
        <v>0.193591887715124</v>
      </c>
      <c r="Q279" s="0" t="n">
        <v>0.199438826023724</v>
      </c>
      <c r="R279" s="11" t="n">
        <v>0.089638059984</v>
      </c>
      <c r="S279" s="0" t="n">
        <v>0.0796754655460387</v>
      </c>
      <c r="T279" s="0" t="n">
        <v>0.000201451315813</v>
      </c>
      <c r="U279" s="0" t="n">
        <v>0.000243643269733</v>
      </c>
      <c r="V279" s="0" t="n">
        <v>0.000268322391665</v>
      </c>
      <c r="Z279" s="1"/>
      <c r="AA279" s="1"/>
      <c r="AB279" s="11"/>
      <c r="AJ279" s="0" t="n">
        <v>0.292184668586015</v>
      </c>
      <c r="AK279" s="0" t="n">
        <v>0.000310514345585</v>
      </c>
      <c r="AL279" s="0" t="n">
        <f aca="false">AK279-0.00004219195392</f>
        <v>0.000268322391665</v>
      </c>
      <c r="AM279" s="0" t="n">
        <v>0.365499479603808</v>
      </c>
      <c r="AN279" s="0" t="n">
        <v>0.00521093848520383</v>
      </c>
      <c r="AO279" s="0" t="n">
        <v>0.000201056321459</v>
      </c>
      <c r="AP279" s="0" t="n">
        <v>0.306278872575856</v>
      </c>
      <c r="AQ279" s="0" t="n">
        <v>0.000310514345585</v>
      </c>
      <c r="AR279" s="0" t="n">
        <v>0.000268322391665</v>
      </c>
      <c r="AS279" s="0" t="n">
        <v>0.3597611378497</v>
      </c>
      <c r="AT279" s="0" t="n">
        <v>0.00809209765855366</v>
      </c>
      <c r="AU279" s="3" t="n">
        <v>0.067946316559396</v>
      </c>
      <c r="AV279" s="0" t="n">
        <v>0.410322382138384</v>
      </c>
      <c r="AW279" s="0" t="n">
        <v>0</v>
      </c>
      <c r="AZ279" s="0" t="n">
        <v>0.285301554131895</v>
      </c>
      <c r="BA279" s="0" t="n">
        <v>0.263701554131895</v>
      </c>
      <c r="BC279" s="0" t="n">
        <v>0.215191887715124</v>
      </c>
      <c r="BD279" s="0" t="n">
        <v>0.193591887715124</v>
      </c>
      <c r="BE279" s="0" t="n">
        <v>0.109584783344372</v>
      </c>
      <c r="BF279" s="3" t="n">
        <v>0.066384783344372</v>
      </c>
      <c r="BG279" s="0" t="n">
        <v>0.0526797838894445</v>
      </c>
      <c r="BH279" s="0" t="n">
        <f aca="false">M279/BG279</f>
        <v>0.842096887291008</v>
      </c>
      <c r="BI279" s="0" t="n">
        <v>0.0135936194749669</v>
      </c>
      <c r="BJ279" s="0" t="n">
        <v>0.549537593951226</v>
      </c>
      <c r="BK279" s="0" t="n">
        <v>0</v>
      </c>
      <c r="BL279" s="0" t="n">
        <v>0</v>
      </c>
      <c r="BM279" s="0" t="n">
        <v>0</v>
      </c>
      <c r="BN279" s="0" t="e">
        <f aca="false">#REF!/#REF!</f>
        <v>#REF!</v>
      </c>
      <c r="BO279" s="0" t="n">
        <v>0</v>
      </c>
    </row>
    <row r="280" customFormat="false" ht="12.8" hidden="false" customHeight="false" outlineLevel="0" collapsed="false">
      <c r="A280" s="0" t="s">
        <v>330</v>
      </c>
      <c r="B280" s="0" t="s">
        <v>111</v>
      </c>
      <c r="C280" s="0" t="s">
        <v>51</v>
      </c>
      <c r="D280" s="0" t="s">
        <v>187</v>
      </c>
      <c r="E280" s="0" t="n">
        <v>0.25705</v>
      </c>
      <c r="F280" s="0" t="n">
        <v>2.6165</v>
      </c>
      <c r="G280" s="0" t="n">
        <v>254</v>
      </c>
      <c r="H280" s="0" t="n">
        <v>215</v>
      </c>
      <c r="I280" s="0" t="s">
        <v>55</v>
      </c>
      <c r="J280" s="0" t="n">
        <v>0.0867745392</v>
      </c>
      <c r="K280" s="0" t="n">
        <v>0.055197</v>
      </c>
      <c r="L280" s="0" t="n">
        <v>0.0127914373834821</v>
      </c>
      <c r="M280" s="1" t="n">
        <v>0.0478472787949729</v>
      </c>
      <c r="N280" s="0" t="n">
        <v>0.336198911386153</v>
      </c>
      <c r="O280" s="0" t="n">
        <v>0.328115888175848</v>
      </c>
      <c r="P280" s="0" t="n">
        <v>0.250269351112667</v>
      </c>
      <c r="Q280" s="0" t="n">
        <v>0.336174329375926</v>
      </c>
      <c r="R280" s="11" t="n">
        <v>0.123900500325</v>
      </c>
      <c r="S280" s="0" t="n">
        <v>0.111109062941518</v>
      </c>
      <c r="T280" s="0" t="n">
        <v>0.000163003644624</v>
      </c>
      <c r="U280" s="0" t="n">
        <v>0.000210692394624</v>
      </c>
      <c r="V280" s="0" t="n">
        <v>0.000352483387649</v>
      </c>
      <c r="Z280" s="1"/>
      <c r="AA280" s="1"/>
      <c r="AB280" s="11"/>
      <c r="AJ280" s="0" t="n">
        <v>1.40152995974997</v>
      </c>
      <c r="AK280" s="0" t="n">
        <v>0.00041020433543</v>
      </c>
      <c r="AL280" s="0" t="n">
        <f aca="false">AK280-0.00004768875</f>
        <v>0.00036251558543</v>
      </c>
      <c r="AM280" s="0" t="n">
        <v>0.0110488644670078</v>
      </c>
      <c r="AN280" s="0" t="n">
        <v>0.000195248788250054</v>
      </c>
      <c r="AO280" s="0" t="n">
        <v>0.000163003644624</v>
      </c>
      <c r="AP280" s="0" t="n">
        <v>1.40152995974997</v>
      </c>
      <c r="AQ280" s="0" t="n">
        <v>0.000400172137649</v>
      </c>
      <c r="AR280" s="0" t="n">
        <v>0.000352483387649</v>
      </c>
      <c r="AS280" s="0" t="n">
        <v>-0.29808665209383</v>
      </c>
      <c r="AT280" s="0" t="n">
        <v>0.00123849348976127</v>
      </c>
      <c r="AU280" s="3" t="n">
        <v>0.06539315339047</v>
      </c>
      <c r="AV280" s="0" t="n">
        <v>0.191938263018272</v>
      </c>
      <c r="AW280" s="0" t="n">
        <v>0.0652357211048371</v>
      </c>
      <c r="AZ280" s="0" t="n">
        <v>0.492630492163985</v>
      </c>
      <c r="BA280" s="0" t="n">
        <v>0.470130492163985</v>
      </c>
      <c r="BC280" s="0" t="n">
        <v>0.272769351112667</v>
      </c>
      <c r="BD280" s="0" t="n">
        <v>0.250269351112667</v>
      </c>
      <c r="BE280" s="0" t="n">
        <v>0.102912907399095</v>
      </c>
      <c r="BF280" s="3" t="n">
        <v>0.057912907399095</v>
      </c>
      <c r="BG280" s="0" t="n">
        <v>0.0630636026093681</v>
      </c>
      <c r="BH280" s="0" t="n">
        <f aca="false">M280/BG280</f>
        <v>0.758714643870745</v>
      </c>
      <c r="BI280" s="0" t="n">
        <v>3.78058969766427E-006</v>
      </c>
      <c r="BJ280" s="0" t="n">
        <v>0.410443726800183</v>
      </c>
      <c r="BK280" s="0" t="n">
        <v>0.0500071595231372</v>
      </c>
      <c r="BL280" s="0" t="n">
        <v>0.0877357211048371</v>
      </c>
      <c r="BM280" s="0" t="n">
        <v>0.0652357211048371</v>
      </c>
      <c r="BN280" s="0" t="e">
        <f aca="false">#REF!/#REF!</f>
        <v>#REF!</v>
      </c>
      <c r="BO280" s="0" t="e">
        <f aca="false">BN280-0.0225</f>
        <v>#REF!</v>
      </c>
    </row>
    <row r="281" customFormat="false" ht="12.8" hidden="false" customHeight="false" outlineLevel="0" collapsed="false">
      <c r="A281" s="0" t="s">
        <v>331</v>
      </c>
      <c r="B281" s="0" t="s">
        <v>111</v>
      </c>
      <c r="C281" s="21" t="s">
        <v>51</v>
      </c>
      <c r="D281" s="0" t="s">
        <v>187</v>
      </c>
      <c r="E281" s="0" t="n">
        <v>0.361525</v>
      </c>
      <c r="F281" s="0" t="n">
        <v>3.87475</v>
      </c>
      <c r="G281" s="0" t="n">
        <v>476</v>
      </c>
      <c r="H281" s="0" t="n">
        <v>428</v>
      </c>
      <c r="I281" s="0" t="s">
        <v>55</v>
      </c>
      <c r="J281" s="0" t="n">
        <v>0.0729151666</v>
      </c>
      <c r="K281" s="0" t="n">
        <v>0.21986</v>
      </c>
      <c r="L281" s="0" t="n">
        <v>0.023964204469702</v>
      </c>
      <c r="M281" s="1" t="n">
        <v>0.039049988619268</v>
      </c>
      <c r="N281" s="0" t="n">
        <v>0.157305861690419</v>
      </c>
      <c r="O281" s="0" t="n">
        <v>0.418343013945052</v>
      </c>
      <c r="P281" s="0" t="n">
        <v>0.297730046870427</v>
      </c>
      <c r="Q281" s="0" t="n">
        <v>0.212646757733504</v>
      </c>
      <c r="R281" s="11" t="n">
        <v>0.241970934025</v>
      </c>
      <c r="S281" s="0" t="n">
        <v>0.218006729555298</v>
      </c>
      <c r="T281" s="0" t="n">
        <v>0.000169263667292</v>
      </c>
      <c r="U281" s="0" t="n">
        <v>0.000216952417292</v>
      </c>
      <c r="V281" s="0" t="n">
        <v>0.000293780945247</v>
      </c>
      <c r="Z281" s="1"/>
      <c r="AA281" s="1"/>
      <c r="AB281" s="11"/>
      <c r="AJ281" s="0" t="n">
        <v>4.69905937637926</v>
      </c>
      <c r="AK281" s="0" t="n">
        <v>0.0004805918486355</v>
      </c>
      <c r="AL281" s="0" t="n">
        <f aca="false">AK281-0.00004768875</f>
        <v>0.0004329030986355</v>
      </c>
      <c r="AM281" s="0" t="n">
        <v>0.686820982675819</v>
      </c>
      <c r="AN281" s="0" t="n">
        <v>1.18329366505488E-030</v>
      </c>
      <c r="AO281" s="0" t="n">
        <v>0.000162724584036</v>
      </c>
      <c r="AP281" s="0" t="n">
        <v>1.12018342385508</v>
      </c>
      <c r="AQ281" s="0" t="n">
        <v>0.000341469695247</v>
      </c>
      <c r="AR281" s="0" t="n">
        <v>0.000293780945247</v>
      </c>
      <c r="AS281" s="0" t="n">
        <v>0.806748564634409</v>
      </c>
      <c r="AT281" s="0" t="n">
        <v>2.45216996627699E-015</v>
      </c>
      <c r="AU281" s="3" t="n">
        <v>0.117956027594636</v>
      </c>
      <c r="AV281" s="0" t="n">
        <v>0.111767335901551</v>
      </c>
      <c r="AW281" s="0" t="n">
        <v>0.169575341495285</v>
      </c>
      <c r="AZ281" s="0" t="n">
        <v>0.268576012950212</v>
      </c>
      <c r="BA281" s="0" t="n">
        <v>0.246076012950212</v>
      </c>
      <c r="BC281" s="0" t="n">
        <v>0.320230046870427</v>
      </c>
      <c r="BD281" s="0" t="n">
        <v>0.297730046870427</v>
      </c>
      <c r="BE281" s="0" t="n">
        <v>0.149236404748322</v>
      </c>
      <c r="BF281" s="3" t="n">
        <v>0.104236404748322</v>
      </c>
      <c r="BG281" s="0" t="n">
        <v>0.0702145337068437</v>
      </c>
      <c r="BH281" s="0" t="n">
        <f aca="false">M281/BG281</f>
        <v>0.5561525023054</v>
      </c>
      <c r="BI281" s="0" t="n">
        <v>5.56371993512595E-027</v>
      </c>
      <c r="BJ281" s="0" t="n">
        <v>0.469080945378521</v>
      </c>
      <c r="BK281" s="0" t="n">
        <v>0.155290961974554</v>
      </c>
      <c r="BL281" s="0" t="n">
        <v>0.192075341495285</v>
      </c>
      <c r="BM281" s="0" t="n">
        <v>0.169575341495285</v>
      </c>
      <c r="BN281" s="0" t="e">
        <f aca="false">#REF!/#REF!</f>
        <v>#REF!</v>
      </c>
      <c r="BO281" s="0" t="e">
        <f aca="false">BN281-0.0225</f>
        <v>#REF!</v>
      </c>
    </row>
    <row r="282" customFormat="false" ht="12.8" hidden="false" customHeight="false" outlineLevel="0" collapsed="false">
      <c r="A282" s="0" t="s">
        <v>332</v>
      </c>
      <c r="B282" s="0" t="s">
        <v>111</v>
      </c>
      <c r="C282" s="0" t="s">
        <v>51</v>
      </c>
      <c r="D282" s="0" t="s">
        <v>187</v>
      </c>
      <c r="E282" s="0" t="n">
        <v>0.416525</v>
      </c>
      <c r="F282" s="0" t="n">
        <v>4.20175</v>
      </c>
      <c r="G282" s="0" t="n">
        <v>678</v>
      </c>
      <c r="H282" s="0" t="n">
        <v>618</v>
      </c>
      <c r="I282" s="0" t="s">
        <v>55</v>
      </c>
      <c r="J282" s="0" t="n">
        <v>0.0810506903</v>
      </c>
      <c r="K282" s="0" t="n">
        <v>0.215111</v>
      </c>
      <c r="L282" s="0" t="n">
        <v>0.03414814286811</v>
      </c>
      <c r="M282" s="1" t="n">
        <v>0.0382238162459815</v>
      </c>
      <c r="N282" s="0" t="n">
        <v>0.197186947897044</v>
      </c>
      <c r="O282" s="0" t="n">
        <v>0.500039974281295</v>
      </c>
      <c r="P282" s="0" t="n">
        <v>0.310437356496952</v>
      </c>
      <c r="Q282" s="0" t="n">
        <v>0.278099567106616</v>
      </c>
      <c r="R282" s="11" t="n">
        <v>0.3201368115</v>
      </c>
      <c r="S282" s="0" t="n">
        <v>0.28598866863189</v>
      </c>
      <c r="T282" s="0" t="n">
        <v>0.000179930972457</v>
      </c>
      <c r="U282" s="0" t="n">
        <v>0.000227619722457</v>
      </c>
      <c r="V282" s="0" t="n">
        <v>0.000303212743934</v>
      </c>
      <c r="Z282" s="1"/>
      <c r="AA282" s="1"/>
      <c r="AB282" s="11"/>
      <c r="AJ282" s="0" t="n">
        <v>3.2224701485468</v>
      </c>
      <c r="AK282" s="0" t="n">
        <v>0.000474772115417</v>
      </c>
      <c r="AL282" s="0" t="n">
        <f aca="false">AK282-0.00004768875</f>
        <v>0.000427083365417</v>
      </c>
      <c r="AM282" s="0" t="n">
        <v>0.565702156285148</v>
      </c>
      <c r="AN282" s="0" t="n">
        <v>3.2239673119767E-045</v>
      </c>
      <c r="AO282" s="0" t="n">
        <v>0.000174564501051</v>
      </c>
      <c r="AP282" s="0" t="n">
        <v>2.71361656587724</v>
      </c>
      <c r="AQ282" s="0" t="n">
        <v>0.000350901493934</v>
      </c>
      <c r="AR282" s="0" t="n">
        <v>0.000303212743934</v>
      </c>
      <c r="AS282" s="0" t="n">
        <v>0.827055881911512</v>
      </c>
      <c r="AT282" s="0" t="n">
        <v>8.11215942217272E-026</v>
      </c>
      <c r="AU282" s="3" t="n">
        <v>0.141911257938879</v>
      </c>
      <c r="AV282" s="0" t="n">
        <v>0.206636883690339</v>
      </c>
      <c r="AW282" s="0" t="n">
        <v>0.116908214140196</v>
      </c>
      <c r="AZ282" s="0" t="n">
        <v>0.257029929209384</v>
      </c>
      <c r="BA282" s="0" t="n">
        <v>0.234529929209384</v>
      </c>
      <c r="BC282" s="0" t="n">
        <v>0.332937356496952</v>
      </c>
      <c r="BD282" s="0" t="n">
        <v>0.310437356496952</v>
      </c>
      <c r="BE282" s="0" t="n">
        <v>0.183221037776376</v>
      </c>
      <c r="BF282" s="3" t="n">
        <v>0.138221037776376</v>
      </c>
      <c r="BG282" s="0" t="n">
        <v>0.0667262438617369</v>
      </c>
      <c r="BH282" s="0" t="n">
        <f aca="false">M282/BG282</f>
        <v>0.572845315932737</v>
      </c>
      <c r="BI282" s="0" t="n">
        <v>4.20794782827477E-041</v>
      </c>
      <c r="BJ282" s="0" t="n">
        <v>0.586453366184113</v>
      </c>
      <c r="BK282" s="0" t="n">
        <v>0.174567680013095</v>
      </c>
      <c r="BL282" s="0" t="n">
        <v>0.139408214140196</v>
      </c>
      <c r="BM282" s="0" t="n">
        <v>0.116908214140196</v>
      </c>
      <c r="BN282" s="0" t="e">
        <f aca="false">#REF!/#REF!</f>
        <v>#REF!</v>
      </c>
      <c r="BO282" s="0" t="e">
        <f aca="false">BN282-0.0225</f>
        <v>#REF!</v>
      </c>
    </row>
    <row r="283" customFormat="false" ht="12.8" hidden="false" customHeight="false" outlineLevel="0" collapsed="false">
      <c r="A283" s="0" t="s">
        <v>333</v>
      </c>
      <c r="B283" s="0" t="s">
        <v>111</v>
      </c>
      <c r="C283" s="21" t="s">
        <v>51</v>
      </c>
      <c r="D283" s="0" t="s">
        <v>187</v>
      </c>
      <c r="E283" s="0" t="n">
        <v>0.3498</v>
      </c>
      <c r="F283" s="0" t="n">
        <v>3.738</v>
      </c>
      <c r="G283" s="0" t="n">
        <v>199</v>
      </c>
      <c r="H283" s="0" t="n">
        <v>151</v>
      </c>
      <c r="I283" s="0" t="s">
        <v>53</v>
      </c>
      <c r="J283" s="0" t="n">
        <v>0.0471587889</v>
      </c>
      <c r="K283" s="0" t="n">
        <v>0.051015</v>
      </c>
      <c r="L283" s="0" t="n">
        <v>0.010017860454267</v>
      </c>
      <c r="M283" s="1" t="n">
        <v>0.068067651847567</v>
      </c>
      <c r="N283" s="0" t="n">
        <v>0.341571843829317</v>
      </c>
      <c r="O283" s="0" t="n">
        <v>0.778291325982694</v>
      </c>
      <c r="P283" s="0" t="n">
        <v>0.638113374545284</v>
      </c>
      <c r="Q283" s="0" t="n">
        <v>0.379226776916445</v>
      </c>
      <c r="R283" s="11" t="n">
        <v>0.243985572625</v>
      </c>
      <c r="S283" s="0" t="n">
        <v>0.233967712170733</v>
      </c>
      <c r="T283" s="0" t="n">
        <v>0.000341563364455</v>
      </c>
      <c r="U283" s="0" t="n">
        <v>0.000389252114455</v>
      </c>
      <c r="V283" s="0" t="n">
        <v>0.00100044121718</v>
      </c>
      <c r="Z283" s="1"/>
      <c r="AA283" s="1"/>
      <c r="AB283" s="11"/>
      <c r="AJ283" s="0" t="n">
        <v>1.06156367923128</v>
      </c>
      <c r="AK283" s="0" t="n">
        <v>0.001309656481305</v>
      </c>
      <c r="AL283" s="0" t="n">
        <f aca="false">AK283-0.00004768875</f>
        <v>0.001261967731305</v>
      </c>
      <c r="AM283" s="0" t="n">
        <v>1.29041078394174</v>
      </c>
      <c r="AN283" s="0" t="n">
        <v>3.6906468550466E-007</v>
      </c>
      <c r="AO283" s="0" t="n">
        <v>0.000337321441552</v>
      </c>
      <c r="AP283" s="0" t="n">
        <v>0.944519161226759</v>
      </c>
      <c r="AQ283" s="0" t="n">
        <v>0.00104812996718</v>
      </c>
      <c r="AR283" s="0" t="n">
        <v>0.00100044121718</v>
      </c>
      <c r="AS283" s="0" t="n">
        <v>0.746861629787398</v>
      </c>
      <c r="AT283" s="0" t="n">
        <v>7.632192070982E-008</v>
      </c>
      <c r="AU283" s="3" t="n">
        <v>0.109926758924515</v>
      </c>
      <c r="AV283" s="0" t="n">
        <v>6.37161376E-012</v>
      </c>
      <c r="AW283" s="0" t="n">
        <v>0.190231475695161</v>
      </c>
      <c r="AZ283" s="0" t="n">
        <v>0.539185331891879</v>
      </c>
      <c r="BA283" s="0" t="n">
        <v>0.516685331891879</v>
      </c>
      <c r="BC283" s="0" t="n">
        <v>0.660613374545284</v>
      </c>
      <c r="BD283" s="0" t="n">
        <v>0.638113374545284</v>
      </c>
      <c r="BE283" s="0" t="n">
        <v>0.09778762414863</v>
      </c>
      <c r="BF283" s="3" t="n">
        <v>0.05278762414863</v>
      </c>
      <c r="BG283" s="0" t="n">
        <v>0.120224568075955</v>
      </c>
      <c r="BH283" s="0" t="n">
        <f aca="false">M283/BG283</f>
        <v>0.566170899483403</v>
      </c>
      <c r="BI283" s="0" t="n">
        <v>3.67692863E-012</v>
      </c>
      <c r="BJ283" s="0" t="n">
        <v>0.154121942900542</v>
      </c>
      <c r="BK283" s="0" t="n">
        <v>0.0436712174126267</v>
      </c>
      <c r="BL283" s="0" t="n">
        <v>0.212731475695161</v>
      </c>
      <c r="BM283" s="0" t="n">
        <v>0.190231475695161</v>
      </c>
      <c r="BN283" s="0" t="e">
        <f aca="false">#REF!/#REF!</f>
        <v>#REF!</v>
      </c>
      <c r="BO283" s="0" t="e">
        <f aca="false">BN283-0.0225</f>
        <v>#REF!</v>
      </c>
    </row>
    <row r="284" customFormat="false" ht="12.8" hidden="false" customHeight="false" outlineLevel="0" collapsed="false">
      <c r="A284" s="0" t="s">
        <v>334</v>
      </c>
      <c r="B284" s="0" t="s">
        <v>111</v>
      </c>
      <c r="C284" s="21" t="s">
        <v>59</v>
      </c>
      <c r="D284" s="0" t="s">
        <v>187</v>
      </c>
      <c r="E284" s="0" t="n">
        <v>0.0999975</v>
      </c>
      <c r="F284" s="0" t="n">
        <v>1.56925</v>
      </c>
      <c r="G284" s="0" t="n">
        <v>110</v>
      </c>
      <c r="H284" s="0" t="n">
        <v>80</v>
      </c>
      <c r="I284" s="0" t="s">
        <v>53</v>
      </c>
      <c r="J284" s="0" t="n">
        <v>0</v>
      </c>
      <c r="K284" s="0" t="n">
        <v>0.052172</v>
      </c>
      <c r="L284" s="0" t="n">
        <v>0.00489353824676883</v>
      </c>
      <c r="M284" s="1" t="n">
        <v>0.0535169774363552</v>
      </c>
      <c r="N284" s="0" t="n">
        <v>0.174408893533343</v>
      </c>
      <c r="O284" s="0" t="n">
        <v>0.246497463982657</v>
      </c>
      <c r="P284" s="0" t="n">
        <v>0.17549248005488</v>
      </c>
      <c r="Q284" s="0" t="n">
        <v>0.167636597248532</v>
      </c>
      <c r="R284" s="11" t="n">
        <v>0.0553885857648</v>
      </c>
      <c r="S284" s="0" t="n">
        <v>0.0504950475180312</v>
      </c>
      <c r="T284" s="0" t="n">
        <v>0.00025005048787</v>
      </c>
      <c r="U284" s="0" t="n">
        <v>0.00029224244179</v>
      </c>
      <c r="V284" s="0" t="n">
        <v>0.0002851843515195</v>
      </c>
      <c r="Z284" s="1"/>
      <c r="AA284" s="1"/>
      <c r="AB284" s="11"/>
      <c r="AJ284" s="0" t="n">
        <v>0.35228878668915</v>
      </c>
      <c r="AK284" s="0" t="n">
        <v>0.000393677365429</v>
      </c>
      <c r="AL284" s="0" t="n">
        <f aca="false">AK284-0.00004219195392</f>
        <v>0.000351485411509</v>
      </c>
      <c r="AM284" s="0" t="n">
        <v>0.580728762182923</v>
      </c>
      <c r="AN284" s="0" t="n">
        <v>0.0327110604505796</v>
      </c>
      <c r="AO284" s="0" t="n">
        <v>0.000234976269727</v>
      </c>
      <c r="AP284" s="0" t="n">
        <v>0.562239620586311</v>
      </c>
      <c r="AQ284" s="0" t="n">
        <v>0.0003273763054395</v>
      </c>
      <c r="AR284" s="0" t="n">
        <v>0.0002851843515195</v>
      </c>
      <c r="AS284" s="0" t="n">
        <v>0.623527672873608</v>
      </c>
      <c r="AT284" s="0" t="n">
        <v>0.0883030744632324</v>
      </c>
      <c r="AU284" s="3" t="n">
        <v>0.0525314181902111</v>
      </c>
      <c r="AV284" s="0" t="n">
        <v>0.00621417496500426</v>
      </c>
      <c r="AW284" s="0" t="n">
        <v>0</v>
      </c>
      <c r="AZ284" s="0" t="n">
        <v>0.228462656071977</v>
      </c>
      <c r="BA284" s="0" t="n">
        <v>0.206862656071977</v>
      </c>
      <c r="BC284" s="0" t="n">
        <v>0.19709248005488</v>
      </c>
      <c r="BD284" s="0" t="n">
        <v>0.17549248005488</v>
      </c>
      <c r="BE284" s="0" t="n">
        <v>0.0750290371704125</v>
      </c>
      <c r="BF284" s="3" t="n">
        <v>0.0318290371704125</v>
      </c>
      <c r="BG284" s="0" t="n">
        <v>0.0757270206904164</v>
      </c>
      <c r="BH284" s="0" t="n">
        <f aca="false">M284/BG284</f>
        <v>0.706709136955761</v>
      </c>
      <c r="BI284" s="0" t="n">
        <v>0.000106125766842522</v>
      </c>
      <c r="BJ284" s="0" t="n">
        <v>0.427597969984758</v>
      </c>
      <c r="BK284" s="0" t="n">
        <v>0</v>
      </c>
      <c r="BL284" s="0" t="n">
        <v>0</v>
      </c>
      <c r="BM284" s="0" t="n">
        <v>0</v>
      </c>
      <c r="BN284" s="0" t="e">
        <f aca="false">#REF!/#REF!</f>
        <v>#REF!</v>
      </c>
      <c r="BO284" s="0" t="n">
        <v>0</v>
      </c>
    </row>
    <row r="285" customFormat="false" ht="12.8" hidden="false" customHeight="false" outlineLevel="0" collapsed="false">
      <c r="A285" s="0" t="s">
        <v>335</v>
      </c>
      <c r="B285" s="0" t="s">
        <v>111</v>
      </c>
      <c r="C285" s="0" t="s">
        <v>51</v>
      </c>
      <c r="D285" s="0" t="s">
        <v>187</v>
      </c>
      <c r="E285" s="0" t="n">
        <v>0.307725</v>
      </c>
      <c r="F285" s="0" t="n">
        <v>2.956</v>
      </c>
      <c r="G285" s="0" t="n">
        <v>430</v>
      </c>
      <c r="H285" s="0" t="n">
        <v>379</v>
      </c>
      <c r="I285" s="0" t="s">
        <v>55</v>
      </c>
      <c r="J285" s="0" t="n">
        <v>0.0324532501</v>
      </c>
      <c r="K285" s="0" t="n">
        <v>0.110592</v>
      </c>
      <c r="L285" s="0" t="n">
        <v>0.0216450385216356</v>
      </c>
      <c r="M285" s="1" t="n">
        <v>0.0416628792892212</v>
      </c>
      <c r="N285" s="0" t="n">
        <v>0.264325121445103</v>
      </c>
      <c r="O285" s="0" t="n">
        <v>0.306546293209137</v>
      </c>
      <c r="P285" s="0" t="n">
        <v>0.237578985790516</v>
      </c>
      <c r="Q285" s="0" t="n">
        <v>0.339061155522043</v>
      </c>
      <c r="R285" s="11" t="n">
        <v>0.18886227335</v>
      </c>
      <c r="S285" s="0" t="n">
        <v>0.167217234828364</v>
      </c>
      <c r="T285" s="0" t="n">
        <v>0.000212748756191</v>
      </c>
      <c r="U285" s="0" t="n">
        <v>0.000260437506191</v>
      </c>
      <c r="V285" s="0" t="n">
        <v>0.0002869416849785</v>
      </c>
      <c r="Z285" s="1"/>
      <c r="AA285" s="1"/>
      <c r="AB285" s="11"/>
      <c r="AJ285" s="0" t="n">
        <v>0.214644855630052</v>
      </c>
      <c r="AK285" s="0" t="n">
        <v>0.000363238805819</v>
      </c>
      <c r="AL285" s="0" t="n">
        <f aca="false">AK285-0.00004768875</f>
        <v>0.000315550055819</v>
      </c>
      <c r="AM285" s="0" t="n">
        <v>0.467464416864548</v>
      </c>
      <c r="AN285" s="0" t="n">
        <v>2.07929557406E-009</v>
      </c>
      <c r="AO285" s="0" t="n">
        <v>0.000212298395376</v>
      </c>
      <c r="AP285" s="0" t="n">
        <v>0.240694958862865</v>
      </c>
      <c r="AQ285" s="0" t="n">
        <v>0.0003346304349785</v>
      </c>
      <c r="AR285" s="0" t="n">
        <v>0.0002869416849785</v>
      </c>
      <c r="AS285" s="0" t="n">
        <v>0.776804721599218</v>
      </c>
      <c r="AT285" s="0" t="n">
        <v>1.48591337349882E-006</v>
      </c>
      <c r="AU285" s="3" t="n">
        <v>0.087986145765655</v>
      </c>
      <c r="AV285" s="0" t="n">
        <v>0.478304473136899</v>
      </c>
      <c r="AW285" s="0" t="n">
        <v>0.187892646338296</v>
      </c>
      <c r="AZ285" s="0" t="n">
        <v>0.413310647498956</v>
      </c>
      <c r="BA285" s="0" t="n">
        <v>0.390810647498956</v>
      </c>
      <c r="BC285" s="0" t="n">
        <v>0.260078985790516</v>
      </c>
      <c r="BD285" s="0" t="n">
        <v>0.237578985790516</v>
      </c>
      <c r="BE285" s="0" t="n">
        <v>0.132733792456601</v>
      </c>
      <c r="BF285" s="3" t="n">
        <v>0.087733792456601</v>
      </c>
      <c r="BG285" s="0" t="n">
        <v>0.0558218946992991</v>
      </c>
      <c r="BH285" s="0" t="n">
        <f aca="false">M285/BG285</f>
        <v>0.746353729368207</v>
      </c>
      <c r="BI285" s="0" t="n">
        <v>2.07521721E-012</v>
      </c>
      <c r="BJ285" s="0" t="n">
        <v>0.524669852299644</v>
      </c>
      <c r="BK285" s="0" t="n">
        <v>0.136897980780184</v>
      </c>
      <c r="BL285" s="0" t="n">
        <v>0.210392646338296</v>
      </c>
      <c r="BM285" s="0" t="n">
        <v>0.187892646338296</v>
      </c>
      <c r="BN285" s="0" t="e">
        <f aca="false">#REF!/#REF!</f>
        <v>#REF!</v>
      </c>
      <c r="BO285" s="0" t="e">
        <f aca="false">BN285-0.0225</f>
        <v>#REF!</v>
      </c>
    </row>
    <row r="286" customFormat="false" ht="12.8" hidden="false" customHeight="false" outlineLevel="0" collapsed="false">
      <c r="A286" s="0" t="s">
        <v>336</v>
      </c>
      <c r="B286" s="0" t="s">
        <v>111</v>
      </c>
      <c r="C286" s="21" t="s">
        <v>59</v>
      </c>
      <c r="D286" s="0" t="s">
        <v>187</v>
      </c>
      <c r="E286" s="0" t="n">
        <v>0.0498725</v>
      </c>
      <c r="F286" s="0" t="n">
        <v>0.9226</v>
      </c>
      <c r="G286" s="0" t="n">
        <v>49</v>
      </c>
      <c r="H286" s="0" t="n">
        <v>33</v>
      </c>
      <c r="I286" s="0" t="s">
        <v>53</v>
      </c>
      <c r="J286" s="0" t="n">
        <v>0</v>
      </c>
      <c r="K286" s="0" t="n">
        <v>0.020825</v>
      </c>
      <c r="L286" s="0" t="n">
        <v>0.00218047228451422</v>
      </c>
      <c r="M286" s="1" t="n">
        <v>0.080633330616063</v>
      </c>
      <c r="N286" s="0" t="n">
        <v>0.245014305873795</v>
      </c>
      <c r="O286" s="0" t="n">
        <v>0.185647779879709</v>
      </c>
      <c r="P286" s="0" t="n">
        <v>0.133581330779174</v>
      </c>
      <c r="Q286" s="0" t="n">
        <v>0.226871949627143</v>
      </c>
      <c r="R286" s="11" t="n">
        <v>0.0266131823456</v>
      </c>
      <c r="S286" s="0" t="n">
        <v>0.0244327100610858</v>
      </c>
      <c r="T286" s="0" t="n">
        <v>0.0003371304620045</v>
      </c>
      <c r="U286" s="0" t="n">
        <v>0.0003793224159245</v>
      </c>
      <c r="V286" s="0" t="n">
        <v>0.000533758876917</v>
      </c>
      <c r="Z286" s="1"/>
      <c r="AA286" s="1"/>
      <c r="AB286" s="11"/>
      <c r="AJ286" s="0" t="n">
        <v>0</v>
      </c>
      <c r="AK286" s="0" t="n">
        <v>0.000286488059286</v>
      </c>
      <c r="AL286" s="0" t="n">
        <f aca="false">AK286-0.00004219195392</f>
        <v>0.000244296105366</v>
      </c>
      <c r="AM286" s="0" t="n">
        <v>0</v>
      </c>
      <c r="AN286" s="0" t="n">
        <v>0</v>
      </c>
      <c r="AO286" s="0" t="n">
        <v>-4.219195392E-005</v>
      </c>
      <c r="AP286" s="0" t="n">
        <v>100</v>
      </c>
      <c r="AQ286" s="0" t="n">
        <v>0.000575950830837</v>
      </c>
      <c r="AR286" s="0" t="n">
        <v>0.000533758876917</v>
      </c>
      <c r="AS286" s="0" t="n">
        <v>100</v>
      </c>
      <c r="AT286" s="0" t="n">
        <v>0</v>
      </c>
      <c r="AU286" s="3" t="n">
        <v>0.057340387728188</v>
      </c>
      <c r="AV286" s="0" t="n">
        <v>0.0171708369090007</v>
      </c>
      <c r="AW286" s="0" t="n">
        <v>0</v>
      </c>
      <c r="AZ286" s="0" t="n">
        <v>0.240490398824825</v>
      </c>
      <c r="BA286" s="0" t="n">
        <v>0.218890398824825</v>
      </c>
      <c r="BC286" s="0" t="n">
        <v>0.155181330779174</v>
      </c>
      <c r="BD286" s="0" t="n">
        <v>0.133581330779174</v>
      </c>
      <c r="BE286" s="0" t="n">
        <v>0.0838884337605641</v>
      </c>
      <c r="BF286" s="3" t="n">
        <v>0.0406884337605641</v>
      </c>
      <c r="BG286" s="0" t="n">
        <v>0.0930744942539345</v>
      </c>
      <c r="BH286" s="0" t="n">
        <f aca="false">M286/BG286</f>
        <v>0.866331117481784</v>
      </c>
      <c r="BI286" s="0" t="n">
        <v>0.232134130215115</v>
      </c>
      <c r="BJ286" s="0" t="n">
        <v>0.693263406686188</v>
      </c>
      <c r="BK286" s="0" t="n">
        <v>0</v>
      </c>
      <c r="BL286" s="0" t="n">
        <v>0</v>
      </c>
      <c r="BM286" s="0" t="n">
        <v>0</v>
      </c>
      <c r="BN286" s="0" t="e">
        <f aca="false">#REF!/#REF!</f>
        <v>#REF!</v>
      </c>
      <c r="BO286" s="0" t="n">
        <v>0</v>
      </c>
    </row>
    <row r="287" customFormat="false" ht="12.8" hidden="false" customHeight="false" outlineLevel="0" collapsed="false">
      <c r="A287" s="0" t="s">
        <v>337</v>
      </c>
      <c r="B287" s="0" t="s">
        <v>111</v>
      </c>
      <c r="C287" s="0" t="s">
        <v>59</v>
      </c>
      <c r="D287" s="0" t="s">
        <v>187</v>
      </c>
      <c r="E287" s="0" t="n">
        <v>0.104</v>
      </c>
      <c r="F287" s="0" t="n">
        <v>1.538</v>
      </c>
      <c r="G287" s="0" t="n">
        <v>101</v>
      </c>
      <c r="H287" s="0" t="n">
        <v>73</v>
      </c>
      <c r="I287" s="0" t="s">
        <v>53</v>
      </c>
      <c r="J287" s="0" t="n">
        <v>0</v>
      </c>
      <c r="K287" s="0" t="n">
        <v>0.059204</v>
      </c>
      <c r="L287" s="0" t="n">
        <v>0.00449436681338056</v>
      </c>
      <c r="M287" s="1" t="n">
        <v>0.065526689011995</v>
      </c>
      <c r="N287" s="0" t="n">
        <v>0.159656639273497</v>
      </c>
      <c r="O287" s="0" t="n">
        <v>0.254196960228138</v>
      </c>
      <c r="P287" s="0" t="n">
        <v>0.18001008550699</v>
      </c>
      <c r="Q287" s="0" t="n">
        <v>0.155330188123955</v>
      </c>
      <c r="R287" s="11" t="n">
        <v>0.0543263879528</v>
      </c>
      <c r="S287" s="0" t="n">
        <v>0.0498320211394195</v>
      </c>
      <c r="T287" s="0" t="n">
        <v>0.000271656840719</v>
      </c>
      <c r="U287" s="0" t="n">
        <v>0.000313848794639</v>
      </c>
      <c r="V287" s="0" t="n">
        <v>0.0005210068313545</v>
      </c>
      <c r="Z287" s="1"/>
      <c r="AA287" s="1"/>
      <c r="AB287" s="11"/>
      <c r="AJ287" s="0" t="n">
        <v>-0.018726307909105</v>
      </c>
      <c r="AK287" s="0" t="n">
        <v>0.000553862718711</v>
      </c>
      <c r="AL287" s="0" t="n">
        <f aca="false">AK287-0.00004219195392</f>
        <v>0.000511670764791</v>
      </c>
      <c r="AM287" s="0" t="n">
        <v>-0.337839366671651</v>
      </c>
      <c r="AN287" s="0" t="n">
        <v>0.0378307860719435</v>
      </c>
      <c r="AO287" s="0" t="n">
        <v>0.000271656840719</v>
      </c>
      <c r="AP287" s="0" t="n">
        <v>-0.018726307909105</v>
      </c>
      <c r="AQ287" s="0" t="n">
        <v>0.0005631987852745</v>
      </c>
      <c r="AR287" s="0" t="n">
        <v>0.0005210068313545</v>
      </c>
      <c r="AS287" s="0" t="n">
        <v>-0.166542232166854</v>
      </c>
      <c r="AT287" s="0" t="n">
        <v>0.417317976141506</v>
      </c>
      <c r="AU287" s="3" t="n">
        <v>0.065141895808005</v>
      </c>
      <c r="AV287" s="0" t="n">
        <v>0.00451957311792422</v>
      </c>
      <c r="AW287" s="0" t="n">
        <v>0</v>
      </c>
      <c r="AZ287" s="0" t="n">
        <v>0.211057856807086</v>
      </c>
      <c r="BA287" s="0" t="n">
        <v>0.189457856807086</v>
      </c>
      <c r="BC287" s="0" t="n">
        <v>0.20161008550699</v>
      </c>
      <c r="BD287" s="0" t="n">
        <v>0.18001008550699</v>
      </c>
      <c r="BE287" s="0" t="n">
        <v>0.0796223716672921</v>
      </c>
      <c r="BF287" s="3" t="n">
        <v>0.0364223716672921</v>
      </c>
      <c r="BG287" s="0" t="n">
        <v>0.0768191414951306</v>
      </c>
      <c r="BH287" s="0" t="n">
        <f aca="false">M287/BG287</f>
        <v>0.852999496436036</v>
      </c>
      <c r="BI287" s="0" t="n">
        <v>0.0746592460667994</v>
      </c>
      <c r="BJ287" s="0" t="n">
        <v>0.409804514862805</v>
      </c>
      <c r="BK287" s="0" t="n">
        <v>0</v>
      </c>
      <c r="BL287" s="0" t="n">
        <v>0</v>
      </c>
      <c r="BM287" s="0" t="n">
        <v>0</v>
      </c>
      <c r="BN287" s="0" t="e">
        <f aca="false">#REF!/#REF!</f>
        <v>#REF!</v>
      </c>
      <c r="BO287" s="0" t="n">
        <v>0</v>
      </c>
    </row>
    <row r="288" customFormat="false" ht="12.8" hidden="false" customHeight="false" outlineLevel="0" collapsed="false">
      <c r="A288" s="0" t="s">
        <v>338</v>
      </c>
      <c r="B288" s="0" t="s">
        <v>111</v>
      </c>
      <c r="C288" s="0" t="s">
        <v>51</v>
      </c>
      <c r="D288" s="0" t="s">
        <v>187</v>
      </c>
      <c r="E288" s="0" t="n">
        <v>0.27</v>
      </c>
      <c r="F288" s="0" t="n">
        <v>2.9095</v>
      </c>
      <c r="G288" s="0" t="n">
        <v>200</v>
      </c>
      <c r="H288" s="0" t="n">
        <v>170</v>
      </c>
      <c r="I288" s="0" t="s">
        <v>53</v>
      </c>
      <c r="J288" s="0" t="n">
        <v>0.0460135452</v>
      </c>
      <c r="K288" s="0" t="n">
        <v>0.126374</v>
      </c>
      <c r="L288" s="0" t="n">
        <v>0.0100710017617612</v>
      </c>
      <c r="M288" s="1" t="n">
        <v>0.058466382064673</v>
      </c>
      <c r="N288" s="0" t="n">
        <v>0.401449761723262</v>
      </c>
      <c r="O288" s="0" t="n">
        <v>0.282446207605256</v>
      </c>
      <c r="P288" s="0" t="n">
        <v>0.186071310931017</v>
      </c>
      <c r="Q288" s="0" t="n">
        <v>0.351201738734058</v>
      </c>
      <c r="R288" s="11" t="n">
        <v>0.120080003375</v>
      </c>
      <c r="S288" s="0" t="n">
        <v>0.110009001613239</v>
      </c>
      <c r="T288" s="0" t="n">
        <v>0.000253313789462</v>
      </c>
      <c r="U288" s="0" t="n">
        <v>0.000301002539462</v>
      </c>
      <c r="V288" s="0" t="n">
        <v>0.00038112184489</v>
      </c>
      <c r="Z288" s="1"/>
      <c r="AA288" s="1"/>
      <c r="AB288" s="11"/>
      <c r="AJ288" s="0" t="n">
        <v>0.977955485856339</v>
      </c>
      <c r="AK288" s="0" t="n">
        <v>0.000448255516102</v>
      </c>
      <c r="AL288" s="0" t="n">
        <f aca="false">AK288-0.00004768875</f>
        <v>0.000400566766102</v>
      </c>
      <c r="AM288" s="0" t="n">
        <v>0.467556320647551</v>
      </c>
      <c r="AN288" s="0" t="n">
        <v>4.06576366989062E-005</v>
      </c>
      <c r="AO288" s="0" t="n">
        <v>0.0002497376382725</v>
      </c>
      <c r="AP288" s="0" t="n">
        <v>1.00560119047059</v>
      </c>
      <c r="AQ288" s="0" t="n">
        <v>0.00042881059489</v>
      </c>
      <c r="AR288" s="0" t="n">
        <v>0.00038112184489</v>
      </c>
      <c r="AS288" s="0" t="n">
        <v>0.193698800293079</v>
      </c>
      <c r="AT288" s="0" t="n">
        <v>2.72775721592292E-005</v>
      </c>
      <c r="AU288" s="3" t="n">
        <v>0.081233499969897</v>
      </c>
      <c r="AV288" s="0" t="n">
        <v>0.371347965752282</v>
      </c>
      <c r="AW288" s="0" t="n">
        <v>0.205598727035645</v>
      </c>
      <c r="AZ288" s="0" t="n">
        <v>0.478955867634214</v>
      </c>
      <c r="BA288" s="0" t="n">
        <v>0.456455867634214</v>
      </c>
      <c r="BC288" s="0" t="n">
        <v>0.208571310931017</v>
      </c>
      <c r="BD288" s="0" t="n">
        <v>0.186071310931017</v>
      </c>
      <c r="BE288" s="0" t="n">
        <v>0.12566563073991</v>
      </c>
      <c r="BF288" s="3" t="n">
        <v>0.08066563073991</v>
      </c>
      <c r="BG288" s="0" t="n">
        <v>0.071201996170522</v>
      </c>
      <c r="BH288" s="0" t="n">
        <f aca="false">M288/BG288</f>
        <v>0.821134030072016</v>
      </c>
      <c r="BI288" s="0" t="n">
        <v>0.000438915252297185</v>
      </c>
      <c r="BJ288" s="0" t="n">
        <v>0.629239948693873</v>
      </c>
      <c r="BK288" s="0" t="n">
        <v>0.183527339132686</v>
      </c>
      <c r="BL288" s="0" t="n">
        <v>0.228098727035645</v>
      </c>
      <c r="BM288" s="0" t="n">
        <v>0.205598727035645</v>
      </c>
      <c r="BN288" s="0" t="e">
        <f aca="false">#REF!/#REF!</f>
        <v>#REF!</v>
      </c>
      <c r="BO288" s="0" t="e">
        <f aca="false">BN288-0.0225</f>
        <v>#REF!</v>
      </c>
    </row>
    <row r="289" customFormat="false" ht="12.8" hidden="false" customHeight="false" outlineLevel="0" collapsed="false">
      <c r="A289" s="0" t="s">
        <v>339</v>
      </c>
      <c r="B289" s="0" t="s">
        <v>111</v>
      </c>
      <c r="C289" s="0" t="s">
        <v>59</v>
      </c>
      <c r="D289" s="0" t="s">
        <v>187</v>
      </c>
      <c r="E289" s="0" t="n">
        <v>0.10176</v>
      </c>
      <c r="F289" s="0" t="n">
        <v>1.61375</v>
      </c>
      <c r="G289" s="0" t="n">
        <v>166</v>
      </c>
      <c r="H289" s="0" t="n">
        <v>134</v>
      </c>
      <c r="I289" s="0" t="s">
        <v>53</v>
      </c>
      <c r="J289" s="0" t="n">
        <v>0</v>
      </c>
      <c r="K289" s="0" t="n">
        <v>0.062635</v>
      </c>
      <c r="L289" s="0" t="n">
        <v>0.00738038697099264</v>
      </c>
      <c r="M289" s="1" t="n">
        <v>0.0456680912767933</v>
      </c>
      <c r="N289" s="0" t="n">
        <v>0.229820945027363</v>
      </c>
      <c r="O289" s="0" t="n">
        <v>0.259945767470716</v>
      </c>
      <c r="P289" s="0" t="n">
        <v>0.178586212529775</v>
      </c>
      <c r="Q289" s="0" t="n">
        <v>0.22140363881802</v>
      </c>
      <c r="R289" s="11" t="n">
        <v>0.0696879122456</v>
      </c>
      <c r="S289" s="0" t="n">
        <v>0.0623075252746074</v>
      </c>
      <c r="T289" s="0" t="n">
        <v>0.000170588324249</v>
      </c>
      <c r="U289" s="0" t="n">
        <v>0.000212780278169</v>
      </c>
      <c r="V289" s="0" t="n">
        <v>0.000250514496474</v>
      </c>
      <c r="Z289" s="1"/>
      <c r="AA289" s="1"/>
      <c r="AB289" s="11"/>
      <c r="AJ289" s="0" t="n">
        <v>0.873826173805286</v>
      </c>
      <c r="AK289" s="0" t="n">
        <v>0.0003167960731625</v>
      </c>
      <c r="AL289" s="0" t="n">
        <f aca="false">AK289-0.00004219195392</f>
        <v>0.0002746041192425</v>
      </c>
      <c r="AM289" s="0" t="n">
        <v>0.526076321951931</v>
      </c>
      <c r="AN289" s="0" t="n">
        <v>1.70333878440615E-005</v>
      </c>
      <c r="AO289" s="0" t="n">
        <v>0.000168651045852</v>
      </c>
      <c r="AP289" s="0" t="n">
        <v>0.952391674601503</v>
      </c>
      <c r="AQ289" s="0" t="n">
        <v>0.000292706450394</v>
      </c>
      <c r="AR289" s="0" t="n">
        <v>0.000250514496474</v>
      </c>
      <c r="AS289" s="0" t="n">
        <v>0.84331530190862</v>
      </c>
      <c r="AT289" s="0" t="n">
        <v>0.000343409859008073</v>
      </c>
      <c r="AU289" s="3" t="n">
        <v>0.06331497293372</v>
      </c>
      <c r="AV289" s="0" t="n">
        <v>0.319001086781268</v>
      </c>
      <c r="AW289" s="0" t="n">
        <v>0</v>
      </c>
      <c r="AZ289" s="0" t="n">
        <v>0.303510928464456</v>
      </c>
      <c r="BA289" s="0" t="n">
        <v>0.281910928464456</v>
      </c>
      <c r="BC289" s="0" t="n">
        <v>0.200186212529775</v>
      </c>
      <c r="BD289" s="0" t="n">
        <v>0.178586212529775</v>
      </c>
      <c r="BE289" s="0" t="n">
        <v>0.104064302304645</v>
      </c>
      <c r="BF289" s="3" t="n">
        <v>0.060864302304645</v>
      </c>
      <c r="BG289" s="0" t="n">
        <v>0.057586150526242</v>
      </c>
      <c r="BH289" s="0" t="n">
        <f aca="false">M289/BG289</f>
        <v>0.793039487089563</v>
      </c>
      <c r="BI289" s="0" t="n">
        <v>0.00114682685528195</v>
      </c>
      <c r="BJ289" s="0" t="n">
        <v>0.570454614603354</v>
      </c>
      <c r="BK289" s="0" t="n">
        <v>0</v>
      </c>
      <c r="BL289" s="0" t="n">
        <v>0</v>
      </c>
      <c r="BM289" s="0" t="n">
        <v>0</v>
      </c>
      <c r="BN289" s="0" t="e">
        <f aca="false">#REF!/#REF!</f>
        <v>#REF!</v>
      </c>
      <c r="BO289" s="0" t="n">
        <v>0</v>
      </c>
    </row>
    <row r="290" customFormat="false" ht="12.8" hidden="false" customHeight="false" outlineLevel="0" collapsed="false">
      <c r="A290" s="0" t="s">
        <v>340</v>
      </c>
      <c r="B290" s="0" t="s">
        <v>111</v>
      </c>
      <c r="C290" s="21" t="s">
        <v>51</v>
      </c>
      <c r="D290" s="0" t="s">
        <v>187</v>
      </c>
      <c r="E290" s="0" t="n">
        <v>0.441425</v>
      </c>
      <c r="F290" s="0" t="n">
        <v>4.3955</v>
      </c>
      <c r="G290" s="0" t="n">
        <v>712</v>
      </c>
      <c r="H290" s="0" t="n">
        <v>659</v>
      </c>
      <c r="I290" s="0" t="s">
        <v>53</v>
      </c>
      <c r="J290" s="0" t="n">
        <v>0.0347680226</v>
      </c>
      <c r="K290" s="0" t="n">
        <v>0.362861</v>
      </c>
      <c r="L290" s="0" t="n">
        <v>0.0358595793173153</v>
      </c>
      <c r="M290" s="1" t="n">
        <v>0.0382995469943829</v>
      </c>
      <c r="N290" s="0" t="n">
        <v>0.227942712096306</v>
      </c>
      <c r="O290" s="0" t="n">
        <v>0.414287708842038</v>
      </c>
      <c r="P290" s="0" t="n">
        <v>0.292274936488529</v>
      </c>
      <c r="Q290" s="0" t="n">
        <v>0.22727205248193</v>
      </c>
      <c r="R290" s="11" t="n">
        <v>0.3152964774</v>
      </c>
      <c r="S290" s="0" t="n">
        <v>0.279436898082685</v>
      </c>
      <c r="T290" s="0" t="n">
        <v>0.000207414811239</v>
      </c>
      <c r="U290" s="0" t="n">
        <v>0.000255103561239</v>
      </c>
      <c r="V290" s="0" t="n">
        <v>0.000295626507263</v>
      </c>
      <c r="Z290" s="1"/>
      <c r="AA290" s="1"/>
      <c r="AB290" s="11"/>
      <c r="AJ290" s="0" t="n">
        <v>1.5075722315646</v>
      </c>
      <c r="AK290" s="0" t="n">
        <v>0.000369770913819</v>
      </c>
      <c r="AL290" s="0" t="n">
        <f aca="false">AK290-0.00004768875</f>
        <v>0.000322082163819</v>
      </c>
      <c r="AM290" s="0" t="n">
        <v>0.7141337529488</v>
      </c>
      <c r="AN290" s="0" t="n">
        <v>2.37388308564979E-026</v>
      </c>
      <c r="AO290" s="0" t="n">
        <v>0.000204158466894</v>
      </c>
      <c r="AP290" s="0" t="n">
        <v>1.66996043632682</v>
      </c>
      <c r="AQ290" s="0" t="n">
        <v>0.000343315257263</v>
      </c>
      <c r="AR290" s="0" t="n">
        <v>0.000295626507263</v>
      </c>
      <c r="AS290" s="0" t="n">
        <v>0.589360407872996</v>
      </c>
      <c r="AT290" s="0" t="n">
        <v>2.89899475221876E-020</v>
      </c>
      <c r="AU290" s="3" t="n">
        <v>0.127999936089696</v>
      </c>
      <c r="AV290" s="0" t="n">
        <v>0.277271740061549</v>
      </c>
      <c r="AW290" s="0" t="n">
        <v>0.936731437875659</v>
      </c>
      <c r="AZ290" s="0" t="n">
        <v>0.241691053299841</v>
      </c>
      <c r="BA290" s="0" t="n">
        <v>0.219191053299841</v>
      </c>
      <c r="BC290" s="0" t="n">
        <v>0.314774936488529</v>
      </c>
      <c r="BD290" s="0" t="n">
        <v>0.292274936488529</v>
      </c>
      <c r="BE290" s="0" t="n">
        <v>0.177464440142016</v>
      </c>
      <c r="BF290" s="3" t="n">
        <v>0.132464440142016</v>
      </c>
      <c r="BG290" s="0" t="n">
        <v>0.0554434649614825</v>
      </c>
      <c r="BH290" s="0" t="n">
        <f aca="false">M290/BG290</f>
        <v>0.690785596120124</v>
      </c>
      <c r="BI290" s="0" t="n">
        <v>1.25737793730326E-028</v>
      </c>
      <c r="BJ290" s="0" t="n">
        <v>0.556449355934377</v>
      </c>
      <c r="BK290" s="0" t="n">
        <v>0.881606256134961</v>
      </c>
      <c r="BL290" s="0" t="n">
        <v>0.959231437875659</v>
      </c>
      <c r="BM290" s="0" t="n">
        <v>0.936731437875659</v>
      </c>
      <c r="BN290" s="0" t="e">
        <f aca="false">#REF!/#REF!</f>
        <v>#REF!</v>
      </c>
      <c r="BO290" s="0" t="e">
        <f aca="false">BN290-0.0225</f>
        <v>#REF!</v>
      </c>
    </row>
    <row r="291" customFormat="false" ht="12.8" hidden="false" customHeight="false" outlineLevel="0" collapsed="false">
      <c r="A291" s="0" t="s">
        <v>341</v>
      </c>
      <c r="B291" s="0" t="s">
        <v>111</v>
      </c>
      <c r="C291" s="21" t="s">
        <v>51</v>
      </c>
      <c r="D291" s="0" t="s">
        <v>187</v>
      </c>
      <c r="E291" s="0" t="n">
        <v>0.33785</v>
      </c>
      <c r="F291" s="0" t="n">
        <v>3.5695</v>
      </c>
      <c r="G291" s="0" t="n">
        <v>544</v>
      </c>
      <c r="H291" s="0" t="n">
        <v>497</v>
      </c>
      <c r="I291" s="0" t="s">
        <v>55</v>
      </c>
      <c r="J291" s="0" t="n">
        <v>0.0882342904</v>
      </c>
      <c r="K291" s="0" t="n">
        <v>0.201449</v>
      </c>
      <c r="L291" s="0" t="n">
        <v>0.0273881737377019</v>
      </c>
      <c r="M291" s="1" t="n">
        <v>0.0413056358349625</v>
      </c>
      <c r="N291" s="0" t="n">
        <v>0.228948788155734</v>
      </c>
      <c r="O291" s="0" t="n">
        <v>0.354523153030988</v>
      </c>
      <c r="P291" s="0" t="n">
        <v>0.268324881707544</v>
      </c>
      <c r="Q291" s="0" t="n">
        <v>0.27720466417058</v>
      </c>
      <c r="R291" s="11" t="n">
        <v>0.241030205025</v>
      </c>
      <c r="S291" s="0" t="n">
        <v>0.213642031287298</v>
      </c>
      <c r="T291" s="0" t="n">
        <v>0.0002138842364875</v>
      </c>
      <c r="U291" s="0" t="n">
        <v>0.0002615729864875</v>
      </c>
      <c r="V291" s="0" t="n">
        <v>0.000290211986478</v>
      </c>
      <c r="Z291" s="1"/>
      <c r="AA291" s="1"/>
      <c r="AB291" s="11"/>
      <c r="AJ291" s="0" t="n">
        <v>1.4693948243675</v>
      </c>
      <c r="AK291" s="0" t="n">
        <v>0.0003676067436255</v>
      </c>
      <c r="AL291" s="0" t="n">
        <f aca="false">AK291-0.00004768875</f>
        <v>0.0003199179936255</v>
      </c>
      <c r="AM291" s="0" t="n">
        <v>0.654892530996317</v>
      </c>
      <c r="AN291" s="0" t="n">
        <v>9.714082E-014</v>
      </c>
      <c r="AO291" s="0" t="n">
        <v>0.000212135116698</v>
      </c>
      <c r="AP291" s="0" t="n">
        <v>1.60297503210208</v>
      </c>
      <c r="AQ291" s="0" t="n">
        <v>0.000337900736478</v>
      </c>
      <c r="AR291" s="0" t="n">
        <v>0.000290211986478</v>
      </c>
      <c r="AS291" s="0" t="n">
        <v>0.961051576540365</v>
      </c>
      <c r="AT291" s="0" t="n">
        <v>1.4487431291E-010</v>
      </c>
      <c r="AU291" s="3" t="n">
        <v>0.10727873374269</v>
      </c>
      <c r="AV291" s="0" t="n">
        <v>0.183769272090085</v>
      </c>
      <c r="AW291" s="0" t="n">
        <v>0.229363635251672</v>
      </c>
      <c r="AZ291" s="0" t="n">
        <v>0.207045506445516</v>
      </c>
      <c r="BA291" s="0" t="n">
        <v>0.184545506445516</v>
      </c>
      <c r="BC291" s="0" t="n">
        <v>0.290824881707544</v>
      </c>
      <c r="BD291" s="0" t="n">
        <v>0.268324881707544</v>
      </c>
      <c r="BE291" s="0" t="n">
        <v>0.156634138726253</v>
      </c>
      <c r="BF291" s="3" t="n">
        <v>0.111634138726253</v>
      </c>
      <c r="BG291" s="0" t="n">
        <v>0.0535760875079165</v>
      </c>
      <c r="BH291" s="0" t="n">
        <f aca="false">M291/BG291</f>
        <v>0.770971486651747</v>
      </c>
      <c r="BI291" s="0" t="n">
        <v>2.81993856E-011</v>
      </c>
      <c r="BJ291" s="0" t="n">
        <v>0.544815412746935</v>
      </c>
      <c r="BK291" s="0" t="n">
        <v>0.203917401157417</v>
      </c>
      <c r="BL291" s="0" t="n">
        <v>0.251863635251672</v>
      </c>
      <c r="BM291" s="0" t="n">
        <v>0.229363635251672</v>
      </c>
      <c r="BN291" s="0" t="e">
        <f aca="false">#REF!/#REF!</f>
        <v>#REF!</v>
      </c>
      <c r="BO291" s="0" t="e">
        <f aca="false">BN291-0.0225</f>
        <v>#REF!</v>
      </c>
    </row>
    <row r="292" customFormat="false" ht="12.8" hidden="false" customHeight="false" outlineLevel="0" collapsed="false">
      <c r="A292" s="0" t="s">
        <v>342</v>
      </c>
      <c r="B292" s="0" t="s">
        <v>111</v>
      </c>
      <c r="C292" s="21" t="s">
        <v>51</v>
      </c>
      <c r="D292" s="0" t="s">
        <v>187</v>
      </c>
      <c r="E292" s="0" t="n">
        <v>0.5297</v>
      </c>
      <c r="F292" s="0" t="n">
        <v>5.14675</v>
      </c>
      <c r="G292" s="0" t="n">
        <v>615</v>
      </c>
      <c r="H292" s="0" t="n">
        <v>561</v>
      </c>
      <c r="I292" s="0" t="s">
        <v>55</v>
      </c>
      <c r="J292" s="0" t="n">
        <v>0.0887469873</v>
      </c>
      <c r="K292" s="0" t="n">
        <v>0.337806</v>
      </c>
      <c r="L292" s="0" t="n">
        <v>0.0308150212268775</v>
      </c>
      <c r="M292" s="1" t="n">
        <v>0.0543486091804301</v>
      </c>
      <c r="N292" s="0" t="n">
        <v>0.268577019257922</v>
      </c>
      <c r="O292" s="0" t="n">
        <v>0.564988056711995</v>
      </c>
      <c r="P292" s="0" t="n">
        <v>0.526732650009662</v>
      </c>
      <c r="Q292" s="0" t="n">
        <v>0.578163735940551</v>
      </c>
      <c r="R292" s="11" t="n">
        <v>0.40243709715</v>
      </c>
      <c r="S292" s="0" t="n">
        <v>0.371622075923122</v>
      </c>
      <c r="T292" s="0" t="n">
        <v>0.000310620367495</v>
      </c>
      <c r="U292" s="0" t="n">
        <v>0.000358309117495</v>
      </c>
      <c r="V292" s="0" t="n">
        <v>0.000390306657016</v>
      </c>
      <c r="Z292" s="1"/>
      <c r="AA292" s="1"/>
      <c r="AB292" s="11"/>
      <c r="AJ292" s="0" t="n">
        <v>4.15148622012066</v>
      </c>
      <c r="AK292" s="0" t="n">
        <v>0.000782627173173</v>
      </c>
      <c r="AL292" s="0" t="n">
        <f aca="false">AK292-0.00004768875</f>
        <v>0.000734938423173</v>
      </c>
      <c r="AM292" s="0" t="n">
        <v>0.868572821394671</v>
      </c>
      <c r="AN292" s="0" t="n">
        <v>4.29885180718563E-034</v>
      </c>
      <c r="AO292" s="0" t="n">
        <v>0.000275393438015</v>
      </c>
      <c r="AP292" s="0" t="n">
        <v>1.94063857179848</v>
      </c>
      <c r="AQ292" s="0" t="n">
        <v>0.000437995407016</v>
      </c>
      <c r="AR292" s="0" t="n">
        <v>0.000390306657016</v>
      </c>
      <c r="AS292" s="0" t="n">
        <v>1.06585433819502</v>
      </c>
      <c r="AT292" s="0" t="n">
        <v>2.20129867142E-009</v>
      </c>
      <c r="AU292" s="3" t="n">
        <v>0.128784304455801</v>
      </c>
      <c r="AV292" s="0" t="n">
        <v>0.331698124657825</v>
      </c>
      <c r="AW292" s="0" t="n">
        <v>0.162389956684815</v>
      </c>
      <c r="AZ292" s="0" t="n">
        <v>0.206485086618109</v>
      </c>
      <c r="BA292" s="0" t="n">
        <v>0.183985086618109</v>
      </c>
      <c r="BC292" s="0" t="n">
        <v>0.549232650009662</v>
      </c>
      <c r="BD292" s="0" t="n">
        <v>0.526732650009662</v>
      </c>
      <c r="BE292" s="0" t="n">
        <v>0.172561343919457</v>
      </c>
      <c r="BF292" s="3" t="n">
        <v>0.127561343919457</v>
      </c>
      <c r="BG292" s="0" t="n">
        <v>0.0870233649913193</v>
      </c>
      <c r="BH292" s="0" t="n">
        <f aca="false">M292/BG292</f>
        <v>0.624528931808733</v>
      </c>
      <c r="BI292" s="0" t="n">
        <v>1.06003835868926E-029</v>
      </c>
      <c r="BJ292" s="0" t="n">
        <v>0.300581177606455</v>
      </c>
      <c r="BK292" s="0" t="n">
        <v>0.068871519144538</v>
      </c>
      <c r="BL292" s="0" t="n">
        <v>0.184889956684815</v>
      </c>
      <c r="BM292" s="0" t="n">
        <v>0.162389956684815</v>
      </c>
      <c r="BN292" s="0" t="e">
        <f aca="false">#REF!/#REF!</f>
        <v>#REF!</v>
      </c>
      <c r="BO292" s="0" t="e">
        <f aca="false">BN292-0.0225</f>
        <v>#REF!</v>
      </c>
    </row>
    <row r="293" customFormat="false" ht="12.8" hidden="false" customHeight="false" outlineLevel="0" collapsed="false">
      <c r="A293" s="0" t="s">
        <v>343</v>
      </c>
      <c r="B293" s="0" t="s">
        <v>111</v>
      </c>
      <c r="C293" s="21" t="s">
        <v>59</v>
      </c>
      <c r="D293" s="0" t="s">
        <v>187</v>
      </c>
      <c r="E293" s="0" t="n">
        <v>0.115425</v>
      </c>
      <c r="F293" s="0" t="n">
        <v>1.933</v>
      </c>
      <c r="G293" s="0" t="n">
        <v>56</v>
      </c>
      <c r="H293" s="0" t="n">
        <v>32</v>
      </c>
      <c r="I293" s="0" t="s">
        <v>53</v>
      </c>
      <c r="J293" s="0" t="n">
        <v>0</v>
      </c>
      <c r="K293" s="0" t="n">
        <v>0.061876</v>
      </c>
      <c r="L293" s="0" t="n">
        <v>0.00249269957655638</v>
      </c>
      <c r="M293" s="1" t="n">
        <v>0.086385517531441</v>
      </c>
      <c r="N293" s="0" t="n">
        <v>0.135279266423994</v>
      </c>
      <c r="O293" s="0" t="n">
        <v>0.238532727797923</v>
      </c>
      <c r="P293" s="0" t="n">
        <v>0.153366856096926</v>
      </c>
      <c r="Q293" s="0" t="n">
        <v>0.151596101548727</v>
      </c>
      <c r="R293" s="11" t="n">
        <v>0.0279534655056</v>
      </c>
      <c r="S293" s="0" t="n">
        <v>0.0254607659290436</v>
      </c>
      <c r="T293" s="0" t="n">
        <v>-4.219195392E-005</v>
      </c>
      <c r="U293" s="0" t="n">
        <v>0</v>
      </c>
      <c r="V293" s="0" t="n">
        <v>0.0004346039019315</v>
      </c>
      <c r="Z293" s="1"/>
      <c r="AA293" s="1"/>
      <c r="AB293" s="11"/>
      <c r="AJ293" s="0" t="n">
        <v>100</v>
      </c>
      <c r="AK293" s="0" t="n">
        <v>0.0004767958558515</v>
      </c>
      <c r="AL293" s="0" t="n">
        <f aca="false">AK293-0.00004219195392</f>
        <v>0.0004346039019315</v>
      </c>
      <c r="AM293" s="0" t="n">
        <v>0</v>
      </c>
      <c r="AN293" s="0" t="n">
        <v>0</v>
      </c>
      <c r="AO293" s="0" t="n">
        <v>-4.219195392E-005</v>
      </c>
      <c r="AP293" s="0" t="n">
        <v>100</v>
      </c>
      <c r="AQ293" s="0" t="n">
        <v>0.0004767958558515</v>
      </c>
      <c r="AR293" s="0" t="n">
        <v>0.0004346039019315</v>
      </c>
      <c r="AS293" s="0" t="n">
        <v>100</v>
      </c>
      <c r="AT293" s="0" t="n">
        <v>0</v>
      </c>
      <c r="AU293" s="3" t="n">
        <v>0.0326532123556848</v>
      </c>
      <c r="AV293" s="0" t="n">
        <v>0.486610866054312</v>
      </c>
      <c r="AW293" s="0" t="n">
        <v>0</v>
      </c>
      <c r="AZ293" s="0" t="n">
        <v>0.175093769866455</v>
      </c>
      <c r="BA293" s="0" t="n">
        <v>0.153493769866455</v>
      </c>
      <c r="BC293" s="0" t="n">
        <v>0.174966856096926</v>
      </c>
      <c r="BD293" s="0" t="n">
        <v>0.153366856096926</v>
      </c>
      <c r="BE293" s="0" t="n">
        <v>0.0759434772769976</v>
      </c>
      <c r="BF293" s="3" t="n">
        <v>0.0327434772769976</v>
      </c>
      <c r="BG293" s="0" t="n">
        <v>0.0865623424640221</v>
      </c>
      <c r="BH293" s="0" t="n">
        <f aca="false">M293/BG293</f>
        <v>0.997957253378921</v>
      </c>
      <c r="BI293" s="0" t="n">
        <v>0.424997800361644</v>
      </c>
      <c r="BJ293" s="0" t="n">
        <v>0.477159614065577</v>
      </c>
      <c r="BK293" s="0" t="n">
        <v>0</v>
      </c>
      <c r="BL293" s="0" t="n">
        <v>0</v>
      </c>
      <c r="BM293" s="0" t="n">
        <v>0</v>
      </c>
      <c r="BN293" s="0" t="e">
        <f aca="false">#REF!/#REF!</f>
        <v>#REF!</v>
      </c>
      <c r="BO293" s="0" t="n">
        <v>0</v>
      </c>
    </row>
    <row r="294" customFormat="false" ht="12.8" hidden="false" customHeight="false" outlineLevel="0" collapsed="false">
      <c r="A294" s="0" t="s">
        <v>344</v>
      </c>
      <c r="B294" s="0" t="s">
        <v>111</v>
      </c>
      <c r="C294" s="0" t="s">
        <v>59</v>
      </c>
      <c r="D294" s="0" t="s">
        <v>187</v>
      </c>
      <c r="E294" s="0" t="n">
        <v>0.254025</v>
      </c>
      <c r="F294" s="0" t="n">
        <v>2.48275</v>
      </c>
      <c r="G294" s="0" t="n">
        <v>550</v>
      </c>
      <c r="H294" s="0" t="n">
        <v>480</v>
      </c>
      <c r="I294" s="0" t="s">
        <v>53</v>
      </c>
      <c r="J294" s="0" t="n">
        <v>0</v>
      </c>
      <c r="K294" s="0" t="n">
        <v>0.172458</v>
      </c>
      <c r="L294" s="0" t="n">
        <v>0.0244602278231354</v>
      </c>
      <c r="M294" s="1" t="n">
        <v>0.0411006771702066</v>
      </c>
      <c r="N294" s="0" t="n">
        <v>0.305791855882605</v>
      </c>
      <c r="O294" s="0" t="n">
        <v>0.304158521771041</v>
      </c>
      <c r="P294" s="0" t="n">
        <v>0.248345962613912</v>
      </c>
      <c r="Q294" s="0" t="n">
        <v>0.300375915048058</v>
      </c>
      <c r="R294" s="11" t="n">
        <v>0.189314164504</v>
      </c>
      <c r="S294" s="0" t="n">
        <v>0.164853936680865</v>
      </c>
      <c r="T294" s="0" t="n">
        <v>0.000229332680456</v>
      </c>
      <c r="U294" s="0" t="n">
        <v>0.000271524634376</v>
      </c>
      <c r="V294" s="0" t="n">
        <v>0.000238186165755</v>
      </c>
      <c r="Z294" s="1"/>
      <c r="AA294" s="1"/>
      <c r="AB294" s="11"/>
      <c r="AJ294" s="0" t="n">
        <v>1.39977451719805</v>
      </c>
      <c r="AK294" s="0" t="n">
        <v>0.000280378119675</v>
      </c>
      <c r="AL294" s="0" t="n">
        <f aca="false">AK294-0.00004219195392</f>
        <v>0.000238186165755</v>
      </c>
      <c r="AM294" s="0" t="n">
        <v>0.731264979633777</v>
      </c>
      <c r="AN294" s="0" t="n">
        <v>0.128958792222813</v>
      </c>
      <c r="AO294" s="0" t="n">
        <v>0.000229332680456</v>
      </c>
      <c r="AP294" s="0" t="n">
        <v>1.39977451719805</v>
      </c>
      <c r="AQ294" s="0" t="n">
        <v>0.000280378119675</v>
      </c>
      <c r="AR294" s="0" t="n">
        <v>0.000238186165755</v>
      </c>
      <c r="AS294" s="0" t="n">
        <v>0.736012830218897</v>
      </c>
      <c r="AT294" s="0" t="n">
        <v>0.256611132698056</v>
      </c>
      <c r="AU294" s="3" t="n">
        <v>0.071168975743067</v>
      </c>
      <c r="AV294" s="0" t="n">
        <v>0.451223595674648</v>
      </c>
      <c r="AW294" s="0" t="n">
        <v>0</v>
      </c>
      <c r="AZ294" s="0" t="n">
        <v>0.312813193533961</v>
      </c>
      <c r="BA294" s="0" t="n">
        <v>0.291213193533961</v>
      </c>
      <c r="BC294" s="0" t="n">
        <v>0.269945962613912</v>
      </c>
      <c r="BD294" s="0" t="n">
        <v>0.248345962613912</v>
      </c>
      <c r="BE294" s="0" t="n">
        <v>0.11092481833009</v>
      </c>
      <c r="BF294" s="3" t="n">
        <v>0.06772481833009</v>
      </c>
      <c r="BG294" s="0" t="n">
        <v>0.0480347783625853</v>
      </c>
      <c r="BH294" s="0" t="n">
        <f aca="false">M294/BG294</f>
        <v>0.855644151409685</v>
      </c>
      <c r="BI294" s="0" t="n">
        <v>5.03563647815135E-005</v>
      </c>
      <c r="BJ294" s="0" t="n">
        <v>0.428398351974068</v>
      </c>
      <c r="BK294" s="0" t="n">
        <v>0</v>
      </c>
      <c r="BL294" s="0" t="n">
        <v>0</v>
      </c>
      <c r="BM294" s="0" t="n">
        <v>0</v>
      </c>
      <c r="BN294" s="0" t="e">
        <f aca="false">#REF!/#REF!</f>
        <v>#REF!</v>
      </c>
      <c r="BO294" s="0" t="n">
        <v>0</v>
      </c>
    </row>
    <row r="295" customFormat="false" ht="12.8" hidden="false" customHeight="false" outlineLevel="0" collapsed="false">
      <c r="A295" s="0" t="s">
        <v>345</v>
      </c>
      <c r="B295" s="0" t="s">
        <v>111</v>
      </c>
      <c r="C295" s="0" t="s">
        <v>59</v>
      </c>
      <c r="D295" s="0" t="s">
        <v>187</v>
      </c>
      <c r="E295" s="0" t="n">
        <v>0.17885</v>
      </c>
      <c r="F295" s="0" t="n">
        <v>2.333</v>
      </c>
      <c r="G295" s="0" t="n">
        <v>199</v>
      </c>
      <c r="H295" s="0" t="n">
        <v>152</v>
      </c>
      <c r="I295" s="0" t="s">
        <v>55</v>
      </c>
      <c r="J295" s="0" t="n">
        <v>0</v>
      </c>
      <c r="K295" s="0" t="n">
        <v>0.061787</v>
      </c>
      <c r="L295" s="0" t="n">
        <v>0.00885022630844143</v>
      </c>
      <c r="M295" s="1" t="n">
        <v>0.067628697787511</v>
      </c>
      <c r="N295" s="0" t="n">
        <v>0.207749564092857</v>
      </c>
      <c r="O295" s="0" t="n">
        <v>0.365773651368913</v>
      </c>
      <c r="P295" s="0" t="n">
        <v>0.295401560286481</v>
      </c>
      <c r="Q295" s="0" t="n">
        <v>0.333621255675181</v>
      </c>
      <c r="R295" s="11" t="n">
        <v>0.13930034392</v>
      </c>
      <c r="S295" s="0" t="n">
        <v>0.130450117611559</v>
      </c>
      <c r="T295" s="0" t="n">
        <v>0.000446151758311</v>
      </c>
      <c r="U295" s="0" t="n">
        <v>0.000488343712231</v>
      </c>
      <c r="V295" s="0" t="n">
        <v>0.000523554105204</v>
      </c>
      <c r="Z295" s="1"/>
      <c r="AA295" s="1"/>
      <c r="AB295" s="11"/>
      <c r="AJ295" s="0" t="n">
        <v>1.8750227874514</v>
      </c>
      <c r="AK295" s="0" t="n">
        <v>0.000784902808558</v>
      </c>
      <c r="AL295" s="0" t="n">
        <f aca="false">AK295-0.00004219195392</f>
        <v>0.000742710854638</v>
      </c>
      <c r="AM295" s="0" t="n">
        <v>0.697910100314933</v>
      </c>
      <c r="AN295" s="0" t="n">
        <v>0.00219569319724423</v>
      </c>
      <c r="AO295" s="0" t="n">
        <v>0.000370023644622</v>
      </c>
      <c r="AP295" s="0" t="n">
        <v>2.09144648033374</v>
      </c>
      <c r="AQ295" s="0" t="n">
        <v>0.000565746059124</v>
      </c>
      <c r="AR295" s="0" t="n">
        <v>0.000523554105204</v>
      </c>
      <c r="AS295" s="0" t="n">
        <v>0.703623631269911</v>
      </c>
      <c r="AT295" s="0" t="n">
        <v>0.0228155720029002</v>
      </c>
      <c r="AU295" s="3" t="n">
        <v>0.069627201612872</v>
      </c>
      <c r="AV295" s="0" t="n">
        <v>0.0889303977820232</v>
      </c>
      <c r="AW295" s="0" t="n">
        <v>0</v>
      </c>
      <c r="AZ295" s="0" t="n">
        <v>0.151371235175827</v>
      </c>
      <c r="BA295" s="0" t="n">
        <v>0.129771235175827</v>
      </c>
      <c r="BC295" s="0" t="n">
        <v>0.317001560286481</v>
      </c>
      <c r="BD295" s="0" t="n">
        <v>0.295401560286481</v>
      </c>
      <c r="BE295" s="0" t="n">
        <v>0.105821746389286</v>
      </c>
      <c r="BF295" s="3" t="n">
        <v>0.062621746389286</v>
      </c>
      <c r="BG295" s="0" t="n">
        <v>0.0842295099183457</v>
      </c>
      <c r="BH295" s="0" t="n">
        <f aca="false">M295/BG295</f>
        <v>0.802909786048524</v>
      </c>
      <c r="BI295" s="0" t="n">
        <v>8.44659659127696E-006</v>
      </c>
      <c r="BJ295" s="0" t="n">
        <v>0.356716290864773</v>
      </c>
      <c r="BK295" s="0" t="n">
        <v>0</v>
      </c>
      <c r="BL295" s="0" t="n">
        <v>0</v>
      </c>
      <c r="BM295" s="0" t="n">
        <v>0</v>
      </c>
      <c r="BN295" s="0" t="e">
        <f aca="false">#REF!/#REF!</f>
        <v>#REF!</v>
      </c>
      <c r="BO295" s="0" t="n">
        <v>0</v>
      </c>
    </row>
    <row r="296" customFormat="false" ht="12.8" hidden="false" customHeight="false" outlineLevel="0" collapsed="false">
      <c r="A296" s="0" t="s">
        <v>346</v>
      </c>
      <c r="B296" s="0" t="s">
        <v>111</v>
      </c>
      <c r="C296" s="0" t="s">
        <v>59</v>
      </c>
      <c r="D296" s="0" t="s">
        <v>187</v>
      </c>
      <c r="E296" s="0" t="n">
        <v>0.04508025</v>
      </c>
      <c r="F296" s="0" t="n">
        <v>0.709025</v>
      </c>
      <c r="G296" s="0" t="n">
        <v>15</v>
      </c>
      <c r="H296" s="0" t="n">
        <v>4</v>
      </c>
      <c r="I296" s="0" t="s">
        <v>53</v>
      </c>
      <c r="J296" s="0" t="n">
        <v>0</v>
      </c>
      <c r="K296" s="0" t="n">
        <v>0.041037</v>
      </c>
      <c r="L296" s="0" t="n">
        <v>0.000667313042657802</v>
      </c>
      <c r="M296" s="1" t="n">
        <v>0.11031334262722</v>
      </c>
      <c r="N296" s="0" t="n">
        <v>0.12565248906297</v>
      </c>
      <c r="O296" s="0" t="n">
        <v>0.151209279579787</v>
      </c>
      <c r="P296" s="0" t="n">
        <v>0.101249835654606</v>
      </c>
      <c r="Q296" s="0" t="n">
        <v>0.139207709358209</v>
      </c>
      <c r="R296" s="11" t="n">
        <v>0.0100204348268</v>
      </c>
      <c r="S296" s="0" t="n">
        <v>0.0093531217841422</v>
      </c>
      <c r="T296" s="0" t="n">
        <v>-4.219195392E-005</v>
      </c>
      <c r="U296" s="0" t="n">
        <v>0</v>
      </c>
      <c r="V296" s="0" t="n">
        <v>0.000712851821872</v>
      </c>
      <c r="Z296" s="1"/>
      <c r="AA296" s="1"/>
      <c r="AB296" s="11"/>
      <c r="AJ296" s="0" t="n">
        <v>100</v>
      </c>
      <c r="AK296" s="0" t="n">
        <v>0.000755043775791797</v>
      </c>
      <c r="AL296" s="0" t="n">
        <f aca="false">AK296-0.00004219195392</f>
        <v>0.000712851821871797</v>
      </c>
      <c r="AM296" s="0" t="n">
        <v>0</v>
      </c>
      <c r="AN296" s="0" t="n">
        <v>0</v>
      </c>
      <c r="AO296" s="0" t="n">
        <v>-4.219195392E-005</v>
      </c>
      <c r="AP296" s="0" t="n">
        <v>100</v>
      </c>
      <c r="AQ296" s="0" t="n">
        <v>0.000755043775792</v>
      </c>
      <c r="AR296" s="0" t="n">
        <v>0.000712851821872</v>
      </c>
      <c r="AS296" s="0" t="n">
        <v>100</v>
      </c>
      <c r="AT296" s="0" t="n">
        <v>0</v>
      </c>
      <c r="AU296" s="3" t="n">
        <v>0.0323191455808432</v>
      </c>
      <c r="AV296" s="0" t="n">
        <v>0.235243211029395</v>
      </c>
      <c r="AW296" s="0" t="n">
        <v>0</v>
      </c>
      <c r="AZ296" s="0" t="n">
        <v>0.177489901532554</v>
      </c>
      <c r="BA296" s="0" t="n">
        <v>0.155889901532554</v>
      </c>
      <c r="BC296" s="0" t="n">
        <v>0.122849835654606</v>
      </c>
      <c r="BD296" s="0" t="n">
        <v>0.101249835654606</v>
      </c>
      <c r="BE296" s="0" t="n">
        <v>0.0803652632005868</v>
      </c>
      <c r="BF296" s="3" t="n">
        <v>0.0371652632005868</v>
      </c>
      <c r="BG296" s="0" t="n">
        <v>0.105486463416506</v>
      </c>
      <c r="BH296" s="0" t="n">
        <f aca="false">M296/BG296</f>
        <v>1.04575828077253</v>
      </c>
      <c r="BI296" s="0" t="n">
        <v>0.191866313831252</v>
      </c>
      <c r="BJ296" s="0" t="n">
        <v>1.00620333156402</v>
      </c>
      <c r="BK296" s="0" t="n">
        <v>0</v>
      </c>
      <c r="BL296" s="0" t="n">
        <v>0</v>
      </c>
      <c r="BM296" s="0" t="n">
        <v>0</v>
      </c>
      <c r="BN296" s="0" t="e">
        <f aca="false">#REF!/#REF!</f>
        <v>#REF!</v>
      </c>
      <c r="BO296" s="0" t="n">
        <v>0</v>
      </c>
    </row>
    <row r="297" customFormat="false" ht="12.8" hidden="false" customHeight="false" outlineLevel="0" collapsed="false">
      <c r="A297" s="0" t="s">
        <v>347</v>
      </c>
      <c r="B297" s="0" t="s">
        <v>111</v>
      </c>
      <c r="C297" s="0" t="s">
        <v>51</v>
      </c>
      <c r="D297" s="0" t="s">
        <v>187</v>
      </c>
      <c r="E297" s="0" t="n">
        <v>0.403125</v>
      </c>
      <c r="F297" s="0" t="n">
        <v>3.9685</v>
      </c>
      <c r="G297" s="0" t="n">
        <v>357</v>
      </c>
      <c r="H297" s="0" t="n">
        <v>307</v>
      </c>
      <c r="I297" s="0" t="s">
        <v>55</v>
      </c>
      <c r="J297" s="0" t="n">
        <v>0.0561893545</v>
      </c>
      <c r="K297" s="0" t="n">
        <v>0.129939</v>
      </c>
      <c r="L297" s="0" t="n">
        <v>0.0179817177382084</v>
      </c>
      <c r="M297" s="1" t="n">
        <v>0.07543332944951</v>
      </c>
      <c r="N297" s="0" t="n">
        <v>0.283896572651381</v>
      </c>
      <c r="O297" s="0" t="n">
        <v>0.456371301449375</v>
      </c>
      <c r="P297" s="0" t="n">
        <v>0.351393499803171</v>
      </c>
      <c r="Q297" s="0" t="n">
        <v>0.321566604312367</v>
      </c>
      <c r="R297" s="11" t="n">
        <v>0.307253519625</v>
      </c>
      <c r="S297" s="0" t="n">
        <v>0.289271801886792</v>
      </c>
      <c r="T297" s="0" t="n">
        <v>0.000390929117443</v>
      </c>
      <c r="U297" s="0" t="n">
        <v>0.000438617867443</v>
      </c>
      <c r="V297" s="0" t="n">
        <v>0.000614240926307</v>
      </c>
      <c r="Z297" s="1"/>
      <c r="AA297" s="1"/>
      <c r="AB297" s="11"/>
      <c r="AJ297" s="0" t="n">
        <v>0.982920151536927</v>
      </c>
      <c r="AK297" s="0" t="n">
        <v>0.0006860903416335</v>
      </c>
      <c r="AL297" s="0" t="n">
        <f aca="false">AK297-0.00004768875</f>
        <v>0.0006384015916335</v>
      </c>
      <c r="AM297" s="0" t="n">
        <v>0.946420756830618</v>
      </c>
      <c r="AN297" s="0" t="n">
        <v>1.17560911029527E-006</v>
      </c>
      <c r="AO297" s="0" t="n">
        <v>0.000382128086876</v>
      </c>
      <c r="AP297" s="0" t="n">
        <v>0.744268837945849</v>
      </c>
      <c r="AQ297" s="0" t="n">
        <v>0.000661929676307</v>
      </c>
      <c r="AR297" s="0" t="n">
        <v>0.000614240926307</v>
      </c>
      <c r="AS297" s="0" t="n">
        <v>0.579005913963687</v>
      </c>
      <c r="AT297" s="0" t="n">
        <v>1.10238511348117E-005</v>
      </c>
      <c r="AU297" s="3" t="n">
        <v>0.11458756784208</v>
      </c>
      <c r="AV297" s="0" t="n">
        <v>0.000572245426223286</v>
      </c>
      <c r="AW297" s="0" t="n">
        <v>0.106346149149699</v>
      </c>
      <c r="AZ297" s="0" t="n">
        <v>0.288075975180767</v>
      </c>
      <c r="BA297" s="0" t="n">
        <v>0.265575975180767</v>
      </c>
      <c r="BC297" s="0" t="n">
        <v>0.373893499803171</v>
      </c>
      <c r="BD297" s="0" t="n">
        <v>0.351393499803171</v>
      </c>
      <c r="BE297" s="0" t="n">
        <v>0.133205729598508</v>
      </c>
      <c r="BF297" s="3" t="n">
        <v>0.088205729598508</v>
      </c>
      <c r="BG297" s="0" t="n">
        <v>0.093498234939769</v>
      </c>
      <c r="BH297" s="0" t="n">
        <f aca="false">M297/BG297</f>
        <v>0.806788807276455</v>
      </c>
      <c r="BI297" s="0" t="n">
        <v>1.91298747338408E-006</v>
      </c>
      <c r="BJ297" s="0" t="n">
        <v>0.385198325734509</v>
      </c>
      <c r="BK297" s="0" t="n">
        <v>0.111478195529585</v>
      </c>
      <c r="BL297" s="0" t="n">
        <v>0.128846149149699</v>
      </c>
      <c r="BM297" s="0" t="n">
        <v>0.106346149149699</v>
      </c>
      <c r="BN297" s="0" t="e">
        <f aca="false">#REF!/#REF!</f>
        <v>#REF!</v>
      </c>
      <c r="BO297" s="0" t="e">
        <f aca="false">BN297-0.0225</f>
        <v>#REF!</v>
      </c>
    </row>
    <row r="298" customFormat="false" ht="12.8" hidden="false" customHeight="false" outlineLevel="0" collapsed="false">
      <c r="A298" s="0" t="s">
        <v>348</v>
      </c>
      <c r="B298" s="0" t="s">
        <v>111</v>
      </c>
      <c r="C298" s="0" t="s">
        <v>51</v>
      </c>
      <c r="D298" s="0" t="s">
        <v>187</v>
      </c>
      <c r="E298" s="0" t="n">
        <v>0.2901</v>
      </c>
      <c r="F298" s="0" t="n">
        <v>2.85375</v>
      </c>
      <c r="G298" s="0" t="n">
        <v>217</v>
      </c>
      <c r="H298" s="0" t="n">
        <v>170</v>
      </c>
      <c r="I298" s="0" t="s">
        <v>53</v>
      </c>
      <c r="J298" s="0" t="n">
        <v>0.0290040113</v>
      </c>
      <c r="K298" s="0" t="n">
        <v>0.057838</v>
      </c>
      <c r="L298" s="0" t="n">
        <v>0.0109303198872119</v>
      </c>
      <c r="M298" s="1" t="n">
        <v>0.069943746799649</v>
      </c>
      <c r="N298" s="0" t="n">
        <v>0.513246354753032</v>
      </c>
      <c r="O298" s="0" t="n">
        <v>0.362123426596016</v>
      </c>
      <c r="P298" s="0" t="n">
        <v>0.255794662113139</v>
      </c>
      <c r="Q298" s="0" t="n">
        <v>0.495746950892972</v>
      </c>
      <c r="R298" s="11" t="n">
        <v>0.164443201425</v>
      </c>
      <c r="S298" s="0" t="n">
        <v>0.153512881537788</v>
      </c>
      <c r="T298" s="0" t="n">
        <v>0.000443634809809</v>
      </c>
      <c r="U298" s="0" t="n">
        <v>0.000491323559809</v>
      </c>
      <c r="V298" s="0" t="n">
        <v>0.000536286604706</v>
      </c>
      <c r="Z298" s="1"/>
      <c r="AA298" s="1"/>
      <c r="AB298" s="11"/>
      <c r="AJ298" s="0" t="n">
        <v>2.49833027036013</v>
      </c>
      <c r="AK298" s="0" t="n">
        <v>0.000583975354706</v>
      </c>
      <c r="AL298" s="0" t="n">
        <f aca="false">AK298-0.00004768875</f>
        <v>0.000536286604706</v>
      </c>
      <c r="AM298" s="0" t="n">
        <v>0.755030952064094</v>
      </c>
      <c r="AN298" s="0" t="n">
        <v>0.118206561607315</v>
      </c>
      <c r="AO298" s="0" t="n">
        <v>0.000443634809809</v>
      </c>
      <c r="AP298" s="0" t="n">
        <v>2.49833027036013</v>
      </c>
      <c r="AQ298" s="0" t="n">
        <v>0.000583975354706</v>
      </c>
      <c r="AR298" s="0" t="n">
        <v>0.000536286604706</v>
      </c>
      <c r="AS298" s="0" t="n">
        <v>0.755030952064094</v>
      </c>
      <c r="AT298" s="0" t="n">
        <v>0.23641312321463</v>
      </c>
      <c r="AU298" s="3" t="n">
        <v>0.065947798709565</v>
      </c>
      <c r="AV298" s="0" t="n">
        <v>0.465485513819341</v>
      </c>
      <c r="AW298" s="0" t="n">
        <v>0</v>
      </c>
      <c r="AZ298" s="0" t="n">
        <v>0.537935011164953</v>
      </c>
      <c r="BA298" s="0" t="n">
        <v>0.515435011164953</v>
      </c>
      <c r="BC298" s="0" t="n">
        <v>0.278294662113139</v>
      </c>
      <c r="BD298" s="0" t="n">
        <v>0.255794662113139</v>
      </c>
      <c r="BE298" s="0" t="n">
        <v>0.10936746050011</v>
      </c>
      <c r="BF298" s="3" t="n">
        <v>0.06436746050011</v>
      </c>
      <c r="BG298" s="0" t="n">
        <v>0.0815580051055317</v>
      </c>
      <c r="BH298" s="0" t="n">
        <f aca="false">M298/BG298</f>
        <v>0.857595115392358</v>
      </c>
      <c r="BI298" s="0" t="n">
        <v>0.00358507538826765</v>
      </c>
      <c r="BJ298" s="0" t="n">
        <v>0.431956526239633</v>
      </c>
      <c r="BK298" s="0" t="n">
        <v>0</v>
      </c>
      <c r="BL298" s="0" t="n">
        <v>0</v>
      </c>
      <c r="BM298" s="0" t="n">
        <v>0</v>
      </c>
      <c r="BN298" s="0" t="e">
        <f aca="false">#REF!/#REF!</f>
        <v>#REF!</v>
      </c>
      <c r="BO298" s="0" t="n">
        <v>0</v>
      </c>
    </row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B8" activeCellId="0" sqref="B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8.81"/>
  </cols>
  <sheetData>
    <row r="1" customFormat="false" ht="12.8" hidden="false" customHeight="false" outlineLevel="0" collapsed="false">
      <c r="A1" s="7" t="s">
        <v>349</v>
      </c>
      <c r="B1" s="20" t="s">
        <v>350</v>
      </c>
      <c r="C1" s="20"/>
    </row>
    <row r="2" customFormat="false" ht="12.8" hidden="false" customHeight="false" outlineLevel="0" collapsed="false">
      <c r="A2" s="7" t="s">
        <v>4</v>
      </c>
      <c r="B2" s="20" t="s">
        <v>351</v>
      </c>
      <c r="C2" s="20"/>
    </row>
    <row r="3" customFormat="false" ht="12.8" hidden="false" customHeight="false" outlineLevel="0" collapsed="false">
      <c r="A3" s="7" t="s">
        <v>5</v>
      </c>
      <c r="B3" s="20" t="s">
        <v>352</v>
      </c>
      <c r="C3" s="20"/>
    </row>
    <row r="4" customFormat="false" ht="12.8" hidden="false" customHeight="false" outlineLevel="0" collapsed="false">
      <c r="A4" s="7" t="s">
        <v>6</v>
      </c>
      <c r="B4" s="20" t="s">
        <v>353</v>
      </c>
      <c r="C4" s="20"/>
    </row>
    <row r="5" customFormat="false" ht="12.8" hidden="false" customHeight="false" outlineLevel="0" collapsed="false">
      <c r="A5" s="8" t="s">
        <v>7</v>
      </c>
      <c r="B5" s="20" t="s">
        <v>354</v>
      </c>
      <c r="C5" s="20"/>
    </row>
    <row r="6" customFormat="false" ht="12.8" hidden="false" customHeight="false" outlineLevel="0" collapsed="false">
      <c r="A6" s="7" t="s">
        <v>8</v>
      </c>
      <c r="B6" s="20" t="s">
        <v>355</v>
      </c>
      <c r="C6" s="20"/>
    </row>
    <row r="7" customFormat="false" ht="12.8" hidden="false" customHeight="false" outlineLevel="0" collapsed="false">
      <c r="A7" s="7" t="s">
        <v>9</v>
      </c>
      <c r="B7" s="0" t="s">
        <v>356</v>
      </c>
    </row>
    <row r="8" customFormat="false" ht="12.8" hidden="false" customHeight="false" outlineLevel="0" collapsed="false">
      <c r="A8" s="7" t="s">
        <v>11</v>
      </c>
      <c r="B8" s="0" t="s">
        <v>357</v>
      </c>
    </row>
    <row r="9" customFormat="false" ht="12.8" hidden="false" customHeight="false" outlineLevel="0" collapsed="false">
      <c r="A9" s="7" t="s">
        <v>10</v>
      </c>
      <c r="B9" s="0" t="s">
        <v>358</v>
      </c>
    </row>
    <row r="10" customFormat="false" ht="12.8" hidden="false" customHeight="false" outlineLevel="0" collapsed="false">
      <c r="A10" s="7" t="s">
        <v>11</v>
      </c>
      <c r="B10" s="0" t="s">
        <v>357</v>
      </c>
    </row>
    <row r="11" customFormat="false" ht="12.8" hidden="false" customHeight="false" outlineLevel="0" collapsed="false">
      <c r="A11" s="24" t="s">
        <v>12</v>
      </c>
      <c r="B11" s="0" t="s">
        <v>359</v>
      </c>
    </row>
    <row r="12" customFormat="false" ht="12.8" hidden="false" customHeight="false" outlineLevel="0" collapsed="false">
      <c r="A12" s="7" t="s">
        <v>360</v>
      </c>
      <c r="B12" s="0" t="s">
        <v>361</v>
      </c>
    </row>
    <row r="13" customFormat="false" ht="12.8" hidden="false" customHeight="false" outlineLevel="0" collapsed="false">
      <c r="A13" s="25" t="s">
        <v>14</v>
      </c>
      <c r="B13" s="0" t="s">
        <v>362</v>
      </c>
    </row>
    <row r="14" customFormat="false" ht="12.8" hidden="false" customHeight="false" outlineLevel="0" collapsed="false">
      <c r="A14" s="8" t="s">
        <v>15</v>
      </c>
      <c r="B14" s="0" t="s">
        <v>363</v>
      </c>
    </row>
    <row r="15" customFormat="false" ht="12.8" hidden="false" customHeight="false" outlineLevel="0" collapsed="false">
      <c r="A15" s="7" t="s">
        <v>16</v>
      </c>
      <c r="B15" s="0" t="s">
        <v>364</v>
      </c>
    </row>
    <row r="16" customFormat="false" ht="12.8" hidden="false" customHeight="false" outlineLevel="0" collapsed="false">
      <c r="A16" s="7" t="s">
        <v>17</v>
      </c>
      <c r="B16" s="0" t="s">
        <v>365</v>
      </c>
    </row>
    <row r="17" customFormat="false" ht="12.8" hidden="false" customHeight="false" outlineLevel="0" collapsed="false">
      <c r="A17" s="8" t="s">
        <v>18</v>
      </c>
      <c r="B17" s="0" t="s">
        <v>366</v>
      </c>
    </row>
    <row r="18" customFormat="false" ht="12.8" hidden="false" customHeight="false" outlineLevel="0" collapsed="false">
      <c r="A18" s="7" t="s">
        <v>20</v>
      </c>
      <c r="B18" s="0" t="s">
        <v>367</v>
      </c>
    </row>
    <row r="19" customFormat="false" ht="12.8" hidden="false" customHeight="false" outlineLevel="0" collapsed="false">
      <c r="A19" s="8" t="s">
        <v>19</v>
      </c>
      <c r="B19" s="0" t="s">
        <v>368</v>
      </c>
    </row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C16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sheetData>
    <row r="2" customFormat="false" ht="12.8" hidden="false" customHeight="false" outlineLevel="0" collapsed="false">
      <c r="A2" s="7" t="s">
        <v>369</v>
      </c>
    </row>
    <row r="4" customFormat="false" ht="12.8" hidden="false" customHeight="false" outlineLevel="0" collapsed="false">
      <c r="A4" s="26" t="s">
        <v>370</v>
      </c>
      <c r="B4" s="26"/>
    </row>
    <row r="5" customFormat="false" ht="12.8" hidden="false" customHeight="false" outlineLevel="0" collapsed="false">
      <c r="A5" s="26"/>
      <c r="B5" s="26" t="s">
        <v>371</v>
      </c>
      <c r="C5" s="26" t="s">
        <v>372</v>
      </c>
    </row>
    <row r="6" customFormat="false" ht="15" hidden="false" customHeight="false" outlineLevel="0" collapsed="false">
      <c r="A6" s="26" t="s">
        <v>373</v>
      </c>
      <c r="B6" s="27" t="n">
        <v>0.0207</v>
      </c>
      <c r="C6" s="27" t="n">
        <v>0.0001</v>
      </c>
    </row>
    <row r="7" customFormat="false" ht="15" hidden="false" customHeight="false" outlineLevel="0" collapsed="false">
      <c r="A7" s="26" t="s">
        <v>374</v>
      </c>
      <c r="B7" s="27" t="n">
        <v>0.0224</v>
      </c>
      <c r="C7" s="27" t="n">
        <v>0.0002</v>
      </c>
    </row>
    <row r="8" customFormat="false" ht="15" hidden="false" customHeight="false" outlineLevel="0" collapsed="false">
      <c r="A8" s="26" t="s">
        <v>375</v>
      </c>
      <c r="B8" s="27" t="n">
        <v>0.0216</v>
      </c>
      <c r="C8" s="27" t="n">
        <v>0.0001</v>
      </c>
    </row>
    <row r="9" customFormat="false" ht="15" hidden="false" customHeight="false" outlineLevel="0" collapsed="false">
      <c r="A9" s="26" t="s">
        <v>376</v>
      </c>
      <c r="B9" s="27" t="n">
        <v>0.0188</v>
      </c>
      <c r="C9" s="27" t="n">
        <v>0.0001</v>
      </c>
    </row>
    <row r="10" customFormat="false" ht="15" hidden="false" customHeight="false" outlineLevel="0" collapsed="false">
      <c r="A10" s="26"/>
      <c r="B10" s="27"/>
      <c r="C10" s="27"/>
    </row>
    <row r="11" customFormat="false" ht="15" hidden="false" customHeight="false" outlineLevel="0" collapsed="false">
      <c r="A11" s="26" t="s">
        <v>377</v>
      </c>
      <c r="B11" s="27"/>
      <c r="C11" s="27"/>
    </row>
    <row r="12" customFormat="false" ht="15" hidden="false" customHeight="false" outlineLevel="0" collapsed="false">
      <c r="A12" s="26"/>
      <c r="B12" s="27" t="s">
        <v>378</v>
      </c>
      <c r="C12" s="27" t="s">
        <v>372</v>
      </c>
    </row>
    <row r="13" customFormat="false" ht="15" hidden="false" customHeight="false" outlineLevel="0" collapsed="false">
      <c r="A13" s="26" t="s">
        <v>373</v>
      </c>
      <c r="B13" s="27" t="n">
        <v>0.0226</v>
      </c>
      <c r="C13" s="27" t="n">
        <v>0.0001</v>
      </c>
    </row>
    <row r="14" customFormat="false" ht="15" hidden="false" customHeight="false" outlineLevel="0" collapsed="false">
      <c r="A14" s="26" t="s">
        <v>374</v>
      </c>
      <c r="B14" s="27" t="n">
        <v>0.0235</v>
      </c>
      <c r="C14" s="27" t="n">
        <v>0.0001</v>
      </c>
    </row>
    <row r="15" customFormat="false" ht="15" hidden="false" customHeight="false" outlineLevel="0" collapsed="false">
      <c r="A15" s="26" t="s">
        <v>375</v>
      </c>
      <c r="B15" s="27" t="n">
        <v>0.0225</v>
      </c>
      <c r="C15" s="27" t="n">
        <v>0.0001</v>
      </c>
    </row>
    <row r="16" customFormat="false" ht="15" hidden="false" customHeight="false" outlineLevel="0" collapsed="false">
      <c r="A16" s="26" t="s">
        <v>376</v>
      </c>
      <c r="B16" s="27" t="n">
        <v>0.0195</v>
      </c>
      <c r="C16" s="27" t="n">
        <v>0.0001</v>
      </c>
    </row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8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M23" activeCellId="0" sqref="M2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28" t="s">
        <v>379</v>
      </c>
      <c r="B1" s="29"/>
      <c r="C1" s="30" t="s">
        <v>380</v>
      </c>
      <c r="D1" s="29"/>
      <c r="E1" s="28" t="s">
        <v>381</v>
      </c>
      <c r="F1" s="29"/>
      <c r="G1" s="30" t="s">
        <v>382</v>
      </c>
      <c r="H1" s="29"/>
    </row>
    <row r="2" customFormat="false" ht="12.8" hidden="false" customHeight="false" outlineLevel="0" collapsed="false">
      <c r="A2" s="31" t="s">
        <v>383</v>
      </c>
      <c r="B2" s="31"/>
      <c r="C2" s="31"/>
      <c r="D2" s="31"/>
      <c r="E2" s="31"/>
      <c r="F2" s="31"/>
      <c r="G2" s="31"/>
      <c r="H2" s="31"/>
    </row>
    <row r="3" customFormat="false" ht="12.8" hidden="false" customHeight="false" outlineLevel="0" collapsed="false">
      <c r="A3" s="32" t="n">
        <v>61</v>
      </c>
      <c r="B3" s="32"/>
      <c r="C3" s="32" t="n">
        <v>67</v>
      </c>
      <c r="D3" s="32"/>
      <c r="E3" s="2" t="n">
        <v>81</v>
      </c>
      <c r="F3" s="2"/>
      <c r="G3" s="32" t="n">
        <v>88</v>
      </c>
      <c r="H3" s="32"/>
    </row>
    <row r="4" customFormat="false" ht="12.8" hidden="false" customHeight="false" outlineLevel="0" collapsed="false">
      <c r="A4" s="32"/>
      <c r="B4" s="32"/>
      <c r="C4" s="32"/>
      <c r="D4" s="32"/>
      <c r="E4" s="33"/>
      <c r="F4" s="34"/>
      <c r="G4" s="33"/>
      <c r="H4" s="34"/>
    </row>
    <row r="5" customFormat="false" ht="12.8" hidden="false" customHeight="false" outlineLevel="0" collapsed="false">
      <c r="A5" s="31" t="s">
        <v>384</v>
      </c>
      <c r="B5" s="31"/>
      <c r="C5" s="31"/>
      <c r="D5" s="31"/>
      <c r="E5" s="31"/>
      <c r="F5" s="31"/>
      <c r="G5" s="31"/>
      <c r="H5" s="31"/>
    </row>
    <row r="6" customFormat="false" ht="12.8" hidden="false" customHeight="false" outlineLevel="0" collapsed="false">
      <c r="A6" s="32" t="n">
        <v>0.1</v>
      </c>
      <c r="B6" s="32" t="n">
        <v>0.1</v>
      </c>
      <c r="C6" s="32" t="n">
        <v>0.15</v>
      </c>
      <c r="D6" s="32" t="n">
        <v>0.08</v>
      </c>
      <c r="E6" s="0" t="n">
        <v>0.29</v>
      </c>
      <c r="F6" s="0" t="n">
        <v>0.16</v>
      </c>
      <c r="G6" s="32" t="n">
        <v>0.3</v>
      </c>
      <c r="H6" s="32" t="n">
        <v>0.14</v>
      </c>
    </row>
    <row r="7" customFormat="false" ht="12.8" hidden="false" customHeight="false" outlineLevel="0" collapsed="false">
      <c r="A7" s="32" t="s">
        <v>385</v>
      </c>
      <c r="B7" s="32" t="n">
        <v>0.004</v>
      </c>
      <c r="C7" s="32" t="n">
        <v>0.087</v>
      </c>
      <c r="D7" s="32"/>
      <c r="E7" s="33" t="s">
        <v>386</v>
      </c>
      <c r="F7" s="34" t="n">
        <v>8.8E-016</v>
      </c>
      <c r="G7" s="33" t="s">
        <v>387</v>
      </c>
      <c r="H7" s="34" t="n">
        <v>5.2E-014</v>
      </c>
    </row>
    <row r="8" customFormat="false" ht="12.8" hidden="false" customHeight="false" outlineLevel="0" collapsed="false">
      <c r="A8" s="35" t="s">
        <v>388</v>
      </c>
      <c r="B8" s="35"/>
      <c r="C8" s="35"/>
      <c r="D8" s="35"/>
      <c r="E8" s="35"/>
      <c r="F8" s="35"/>
      <c r="G8" s="35"/>
      <c r="H8" s="35"/>
    </row>
    <row r="9" customFormat="false" ht="12.8" hidden="false" customHeight="false" outlineLevel="0" collapsed="false">
      <c r="A9" s="33" t="n">
        <v>283</v>
      </c>
      <c r="B9" s="33" t="n">
        <v>313</v>
      </c>
      <c r="C9" s="33" t="n">
        <v>218</v>
      </c>
      <c r="D9" s="33" t="n">
        <v>221</v>
      </c>
      <c r="E9" s="33" t="n">
        <v>578</v>
      </c>
      <c r="F9" s="33" t="n">
        <v>443</v>
      </c>
      <c r="G9" s="33" t="n">
        <v>358</v>
      </c>
      <c r="H9" s="33" t="n">
        <v>344</v>
      </c>
    </row>
    <row r="10" customFormat="false" ht="12.8" hidden="false" customHeight="false" outlineLevel="0" collapsed="false">
      <c r="A10" s="26" t="s">
        <v>385</v>
      </c>
      <c r="B10" s="36" t="n">
        <v>0.25</v>
      </c>
      <c r="C10" s="36" t="n">
        <v>0.00011</v>
      </c>
      <c r="D10" s="26"/>
      <c r="E10" s="26" t="s">
        <v>386</v>
      </c>
      <c r="F10" s="37" t="n">
        <v>5E-009</v>
      </c>
      <c r="G10" s="38" t="s">
        <v>387</v>
      </c>
      <c r="H10" s="37" t="n">
        <v>0.00133</v>
      </c>
    </row>
    <row r="11" customFormat="false" ht="12.8" hidden="false" customHeight="false" outlineLevel="0" collapsed="false">
      <c r="A11" s="31" t="s">
        <v>389</v>
      </c>
      <c r="B11" s="31"/>
      <c r="C11" s="31"/>
      <c r="D11" s="31"/>
      <c r="E11" s="31"/>
      <c r="F11" s="31"/>
      <c r="G11" s="31"/>
      <c r="H11" s="31"/>
    </row>
    <row r="12" customFormat="false" ht="12.8" hidden="false" customHeight="false" outlineLevel="0" collapsed="false">
      <c r="A12" s="32" t="n">
        <v>0.01</v>
      </c>
      <c r="B12" s="32" t="n">
        <v>0.01</v>
      </c>
      <c r="C12" s="32" t="n">
        <v>0.01</v>
      </c>
      <c r="D12" s="32" t="n">
        <v>0.01</v>
      </c>
      <c r="E12" s="0" t="n">
        <v>0.02</v>
      </c>
      <c r="F12" s="0" t="n">
        <v>0.02</v>
      </c>
      <c r="G12" s="32" t="n">
        <v>0.02</v>
      </c>
      <c r="H12" s="32" t="n">
        <v>0.02</v>
      </c>
    </row>
    <row r="13" customFormat="false" ht="12.8" hidden="false" customHeight="false" outlineLevel="0" collapsed="false">
      <c r="A13" s="32" t="s">
        <v>385</v>
      </c>
      <c r="B13" s="32" t="n">
        <v>0.65</v>
      </c>
      <c r="C13" s="32" t="n">
        <v>0.1</v>
      </c>
      <c r="D13" s="32"/>
      <c r="E13" s="33" t="s">
        <v>386</v>
      </c>
      <c r="F13" s="34" t="n">
        <v>1.74E-008</v>
      </c>
      <c r="G13" s="33" t="s">
        <v>387</v>
      </c>
      <c r="H13" s="34" t="n">
        <v>7.5E-006</v>
      </c>
    </row>
    <row r="14" customFormat="false" ht="12.8" hidden="false" customHeight="false" outlineLevel="0" collapsed="false">
      <c r="A14" s="39" t="s">
        <v>390</v>
      </c>
      <c r="B14" s="39"/>
      <c r="C14" s="39"/>
      <c r="D14" s="39"/>
      <c r="E14" s="39"/>
      <c r="F14" s="39"/>
      <c r="G14" s="39"/>
      <c r="H14" s="39"/>
    </row>
    <row r="15" customFormat="false" ht="12.8" hidden="false" customHeight="false" outlineLevel="0" collapsed="false">
      <c r="A15" s="26"/>
      <c r="B15" s="26"/>
      <c r="C15" s="26"/>
      <c r="D15" s="26"/>
      <c r="E15" s="26" t="n">
        <v>0.03</v>
      </c>
      <c r="F15" s="26" t="n">
        <v>0.02</v>
      </c>
      <c r="G15" s="26" t="n">
        <v>0.05</v>
      </c>
      <c r="H15" s="26" t="n">
        <v>0.02</v>
      </c>
    </row>
    <row r="16" customFormat="false" ht="12.8" hidden="false" customHeight="false" outlineLevel="0" collapsed="false">
      <c r="A16" s="26" t="s">
        <v>385</v>
      </c>
      <c r="B16" s="36"/>
      <c r="C16" s="40" t="n">
        <v>0.0012</v>
      </c>
      <c r="D16" s="26"/>
      <c r="E16" s="26"/>
      <c r="F16" s="41"/>
      <c r="G16" s="26"/>
      <c r="H16" s="41"/>
    </row>
    <row r="17" customFormat="false" ht="12.8" hidden="false" customHeight="false" outlineLevel="0" collapsed="false">
      <c r="A17" s="39" t="s">
        <v>391</v>
      </c>
      <c r="B17" s="39"/>
      <c r="C17" s="39"/>
      <c r="D17" s="39"/>
      <c r="E17" s="39"/>
      <c r="F17" s="39"/>
      <c r="G17" s="39"/>
      <c r="H17" s="39"/>
    </row>
    <row r="18" customFormat="false" ht="12.8" hidden="false" customHeight="false" outlineLevel="0" collapsed="false">
      <c r="A18" s="32" t="n">
        <v>0.03</v>
      </c>
      <c r="B18" s="32" t="n">
        <v>0.02</v>
      </c>
      <c r="C18" s="32" t="n">
        <v>0.04</v>
      </c>
      <c r="D18" s="32" t="n">
        <v>0.02</v>
      </c>
      <c r="E18" s="42" t="n">
        <v>0.03</v>
      </c>
      <c r="F18" s="32" t="n">
        <v>0.01</v>
      </c>
      <c r="G18" s="32" t="n">
        <v>0.04</v>
      </c>
      <c r="H18" s="32" t="n">
        <v>0.01</v>
      </c>
    </row>
    <row r="19" customFormat="false" ht="12.8" hidden="false" customHeight="false" outlineLevel="0" collapsed="false">
      <c r="A19" s="32" t="s">
        <v>392</v>
      </c>
      <c r="B19" s="34" t="n">
        <v>1.1E-015</v>
      </c>
      <c r="C19" s="34" t="n">
        <v>1.4E-021</v>
      </c>
      <c r="D19" s="32"/>
      <c r="E19" s="33" t="s">
        <v>386</v>
      </c>
      <c r="F19" s="33" t="n">
        <v>0.46</v>
      </c>
      <c r="G19" s="33" t="s">
        <v>387</v>
      </c>
      <c r="H19" s="42" t="n">
        <v>0.09</v>
      </c>
    </row>
    <row r="20" customFormat="false" ht="12.8" hidden="false" customHeight="false" outlineLevel="0" collapsed="false">
      <c r="A20" s="43" t="s">
        <v>393</v>
      </c>
      <c r="B20" s="43"/>
      <c r="C20" s="43"/>
      <c r="D20" s="43"/>
      <c r="E20" s="43"/>
      <c r="F20" s="43"/>
      <c r="G20" s="43"/>
      <c r="H20" s="43"/>
    </row>
    <row r="21" customFormat="false" ht="12.8" hidden="false" customHeight="false" outlineLevel="0" collapsed="false">
      <c r="A21" s="26" t="n">
        <v>0.2</v>
      </c>
      <c r="B21" s="26" t="n">
        <v>0.08</v>
      </c>
      <c r="C21" s="26" t="n">
        <v>0.2</v>
      </c>
      <c r="D21" s="26" t="n">
        <v>0.07</v>
      </c>
      <c r="E21" s="26" t="n">
        <v>0.25</v>
      </c>
      <c r="F21" s="38" t="n">
        <v>0.07</v>
      </c>
      <c r="G21" s="38" t="n">
        <v>0.23</v>
      </c>
      <c r="H21" s="38" t="n">
        <v>0.08</v>
      </c>
    </row>
    <row r="22" customFormat="false" ht="12.8" hidden="false" customHeight="false" outlineLevel="0" collapsed="false">
      <c r="A22" s="26" t="s">
        <v>385</v>
      </c>
      <c r="B22" s="26" t="n">
        <v>0.811</v>
      </c>
      <c r="C22" s="26" t="n">
        <v>0.31</v>
      </c>
      <c r="D22" s="26"/>
      <c r="E22" s="26" t="s">
        <v>386</v>
      </c>
      <c r="F22" s="38" t="n">
        <v>0.0012</v>
      </c>
      <c r="G22" s="38" t="s">
        <v>387</v>
      </c>
      <c r="H22" s="38" t="n">
        <v>0.016</v>
      </c>
    </row>
    <row r="23" customFormat="false" ht="12.8" hidden="false" customHeight="false" outlineLevel="0" collapsed="false">
      <c r="A23" s="39" t="s">
        <v>394</v>
      </c>
      <c r="B23" s="39"/>
      <c r="C23" s="39"/>
      <c r="D23" s="39"/>
      <c r="E23" s="39"/>
      <c r="F23" s="39"/>
      <c r="G23" s="39"/>
      <c r="H23" s="39"/>
    </row>
    <row r="24" customFormat="false" ht="12.8" hidden="false" customHeight="false" outlineLevel="0" collapsed="false">
      <c r="A24" s="26" t="n">
        <v>0.15</v>
      </c>
      <c r="B24" s="26" t="n">
        <v>0.05</v>
      </c>
      <c r="C24" s="26" t="n">
        <v>0.19</v>
      </c>
      <c r="D24" s="26" t="n">
        <v>0.06</v>
      </c>
      <c r="E24" s="26" t="n">
        <v>0.21</v>
      </c>
      <c r="F24" s="38" t="n">
        <v>0.06</v>
      </c>
      <c r="G24" s="38" t="n">
        <v>0.24</v>
      </c>
      <c r="H24" s="38" t="n">
        <v>0.08</v>
      </c>
    </row>
    <row r="25" customFormat="false" ht="12.8" hidden="false" customHeight="false" outlineLevel="0" collapsed="false">
      <c r="A25" s="26" t="s">
        <v>385</v>
      </c>
      <c r="B25" s="36" t="n">
        <v>8.7E-007</v>
      </c>
      <c r="C25" s="36" t="n">
        <v>0.0097</v>
      </c>
      <c r="D25" s="26"/>
      <c r="E25" s="26" t="s">
        <v>386</v>
      </c>
      <c r="F25" s="37" t="n">
        <v>8.3E-011</v>
      </c>
      <c r="G25" s="38" t="s">
        <v>387</v>
      </c>
      <c r="H25" s="37" t="n">
        <v>0.0001</v>
      </c>
    </row>
    <row r="26" customFormat="false" ht="12.8" hidden="false" customHeight="false" outlineLevel="0" collapsed="false">
      <c r="A26" s="35" t="s">
        <v>395</v>
      </c>
      <c r="B26" s="35"/>
      <c r="C26" s="35"/>
      <c r="D26" s="35"/>
      <c r="E26" s="35"/>
      <c r="F26" s="35"/>
      <c r="G26" s="35"/>
      <c r="H26" s="35"/>
    </row>
    <row r="27" customFormat="false" ht="12.8" hidden="false" customHeight="false" outlineLevel="0" collapsed="false">
      <c r="A27" s="0" t="n">
        <v>0.19</v>
      </c>
      <c r="B27" s="0" t="n">
        <v>0.06</v>
      </c>
      <c r="C27" s="0" t="n">
        <v>0.25</v>
      </c>
      <c r="D27" s="0" t="n">
        <v>0.07</v>
      </c>
      <c r="E27" s="0" t="n">
        <v>0.26</v>
      </c>
      <c r="F27" s="16" t="n">
        <v>0.07</v>
      </c>
      <c r="G27" s="16" t="n">
        <v>0.31</v>
      </c>
      <c r="H27" s="16" t="n">
        <v>0.1</v>
      </c>
    </row>
    <row r="28" customFormat="false" ht="12.8" hidden="false" customHeight="false" outlineLevel="0" collapsed="false">
      <c r="A28" s="26" t="s">
        <v>385</v>
      </c>
      <c r="B28" s="36" t="n">
        <v>2.8E-008</v>
      </c>
      <c r="C28" s="36" t="n">
        <v>0.00015</v>
      </c>
      <c r="D28" s="26"/>
      <c r="E28" s="26" t="s">
        <v>386</v>
      </c>
      <c r="F28" s="37" t="n">
        <v>1.1E-010</v>
      </c>
      <c r="G28" s="38" t="s">
        <v>387</v>
      </c>
      <c r="H28" s="37" t="n">
        <v>0.00017</v>
      </c>
    </row>
    <row r="29" customFormat="false" ht="12.8" hidden="false" customHeight="false" outlineLevel="0" collapsed="false">
      <c r="A29" s="35" t="s">
        <v>396</v>
      </c>
      <c r="B29" s="35"/>
      <c r="C29" s="35"/>
      <c r="D29" s="35"/>
      <c r="E29" s="35"/>
      <c r="F29" s="35"/>
      <c r="G29" s="35"/>
      <c r="H29" s="35"/>
    </row>
    <row r="30" customFormat="false" ht="12.8" hidden="false" customHeight="false" outlineLevel="0" collapsed="false">
      <c r="A30" s="0" t="n">
        <v>0.22</v>
      </c>
      <c r="B30" s="0" t="n">
        <v>0.08</v>
      </c>
      <c r="C30" s="0" t="n">
        <v>0.23</v>
      </c>
      <c r="D30" s="0" t="n">
        <v>0.08</v>
      </c>
      <c r="E30" s="0" t="n">
        <v>0.28</v>
      </c>
      <c r="F30" s="16" t="n">
        <v>0.07</v>
      </c>
      <c r="G30" s="16" t="n">
        <v>0.26</v>
      </c>
      <c r="H30" s="16" t="n">
        <v>0.1</v>
      </c>
    </row>
    <row r="31" customFormat="false" ht="12.8" hidden="false" customHeight="false" outlineLevel="0" collapsed="false">
      <c r="A31" s="26" t="s">
        <v>385</v>
      </c>
      <c r="B31" s="36" t="n">
        <v>0.65</v>
      </c>
      <c r="C31" s="36" t="n">
        <v>0.21</v>
      </c>
      <c r="D31" s="26"/>
      <c r="E31" s="26" t="s">
        <v>386</v>
      </c>
      <c r="F31" s="37" t="n">
        <v>1E-006</v>
      </c>
      <c r="G31" s="38" t="s">
        <v>387</v>
      </c>
      <c r="H31" s="37" t="n">
        <v>0.002</v>
      </c>
    </row>
    <row r="32" customFormat="false" ht="12.8" hidden="false" customHeight="false" outlineLevel="0" collapsed="false">
      <c r="A32" s="39" t="s">
        <v>397</v>
      </c>
      <c r="B32" s="39"/>
      <c r="C32" s="39"/>
      <c r="D32" s="39"/>
      <c r="E32" s="39"/>
      <c r="F32" s="39"/>
      <c r="G32" s="39"/>
      <c r="H32" s="39"/>
    </row>
    <row r="33" customFormat="false" ht="12.8" hidden="false" customHeight="false" outlineLevel="0" collapsed="false">
      <c r="A33" s="44" t="n">
        <v>0.06</v>
      </c>
      <c r="B33" s="26" t="n">
        <v>0.09</v>
      </c>
      <c r="C33" s="26" t="n">
        <v>0.09</v>
      </c>
      <c r="D33" s="26" t="n">
        <v>0.07</v>
      </c>
      <c r="E33" s="0" t="n">
        <v>0.15</v>
      </c>
      <c r="F33" s="38" t="n">
        <v>0.12</v>
      </c>
      <c r="G33" s="38" t="n">
        <v>0.16</v>
      </c>
      <c r="H33" s="38" t="n">
        <v>0.12</v>
      </c>
    </row>
    <row r="34" customFormat="false" ht="12.8" hidden="false" customHeight="false" outlineLevel="0" collapsed="false">
      <c r="A34" s="26" t="s">
        <v>385</v>
      </c>
      <c r="B34" s="26" t="n">
        <v>0.00095</v>
      </c>
      <c r="C34" s="26" t="n">
        <v>0.21</v>
      </c>
      <c r="D34" s="26"/>
      <c r="E34" s="26" t="s">
        <v>386</v>
      </c>
      <c r="F34" s="37" t="n">
        <v>8.5E-012</v>
      </c>
      <c r="G34" s="38" t="s">
        <v>387</v>
      </c>
      <c r="H34" s="37" t="n">
        <v>3.14E-006</v>
      </c>
    </row>
    <row r="35" customFormat="false" ht="12.8" hidden="false" customHeight="false" outlineLevel="0" collapsed="false">
      <c r="A35" s="39" t="s">
        <v>398</v>
      </c>
      <c r="B35" s="39"/>
      <c r="C35" s="39"/>
      <c r="D35" s="39"/>
      <c r="E35" s="39"/>
      <c r="F35" s="39"/>
      <c r="G35" s="39"/>
      <c r="H35" s="39"/>
    </row>
    <row r="36" customFormat="false" ht="12.8" hidden="false" customHeight="false" outlineLevel="0" collapsed="false">
      <c r="A36" s="33" t="n">
        <v>0.05</v>
      </c>
      <c r="B36" s="33" t="n">
        <v>0.08</v>
      </c>
      <c r="C36" s="33" t="n">
        <v>0.08</v>
      </c>
      <c r="D36" s="33" t="n">
        <v>0.07</v>
      </c>
      <c r="E36" s="33" t="n">
        <v>0.12</v>
      </c>
      <c r="F36" s="42" t="n">
        <v>0.1</v>
      </c>
      <c r="G36" s="42" t="n">
        <v>0.14</v>
      </c>
      <c r="H36" s="42" t="n">
        <v>0.1</v>
      </c>
    </row>
    <row r="37" customFormat="false" ht="12.8" hidden="false" customHeight="false" outlineLevel="0" collapsed="false">
      <c r="A37" s="26" t="s">
        <v>385</v>
      </c>
      <c r="B37" s="36" t="n">
        <v>0.00017</v>
      </c>
      <c r="C37" s="36" t="n">
        <v>0.1</v>
      </c>
      <c r="D37" s="26"/>
      <c r="E37" s="26" t="s">
        <v>386</v>
      </c>
      <c r="F37" s="37" t="n">
        <v>2.7E-012</v>
      </c>
      <c r="G37" s="38" t="s">
        <v>387</v>
      </c>
      <c r="H37" s="37" t="n">
        <v>3.1E-006</v>
      </c>
    </row>
    <row r="38" customFormat="false" ht="12.8" hidden="false" customHeight="false" outlineLevel="0" collapsed="false">
      <c r="A38" s="39" t="s">
        <v>399</v>
      </c>
      <c r="B38" s="39"/>
      <c r="C38" s="39"/>
      <c r="D38" s="39"/>
      <c r="E38" s="39"/>
      <c r="F38" s="39"/>
      <c r="G38" s="39"/>
      <c r="H38" s="39"/>
    </row>
    <row r="39" customFormat="false" ht="12.8" hidden="false" customHeight="false" outlineLevel="0" collapsed="false">
      <c r="A39" s="33" t="n">
        <v>6249</v>
      </c>
      <c r="B39" s="33" t="n">
        <v>2201</v>
      </c>
      <c r="C39" s="33" t="n">
        <v>3029</v>
      </c>
      <c r="D39" s="33" t="n">
        <v>1087</v>
      </c>
      <c r="E39" s="33" t="n">
        <v>4859</v>
      </c>
      <c r="F39" s="42" t="n">
        <v>1344</v>
      </c>
      <c r="G39" s="42" t="n">
        <v>2617</v>
      </c>
      <c r="H39" s="42" t="n">
        <v>908</v>
      </c>
    </row>
    <row r="40" customFormat="false" ht="12.8" hidden="false" customHeight="false" outlineLevel="0" collapsed="false">
      <c r="A40" s="26" t="s">
        <v>385</v>
      </c>
      <c r="B40" s="37" t="n">
        <v>6.6E-016</v>
      </c>
      <c r="C40" s="37" t="n">
        <v>1.8E-020</v>
      </c>
      <c r="D40" s="26"/>
      <c r="E40" s="26" t="s">
        <v>386</v>
      </c>
      <c r="F40" s="37" t="n">
        <v>1.45E-005</v>
      </c>
      <c r="G40" s="38" t="s">
        <v>387</v>
      </c>
      <c r="H40" s="37" t="n">
        <v>0.009</v>
      </c>
    </row>
    <row r="41" customFormat="false" ht="12.8" hidden="false" customHeight="false" outlineLevel="0" collapsed="false">
      <c r="A41" s="39" t="s">
        <v>400</v>
      </c>
      <c r="B41" s="39"/>
      <c r="C41" s="39"/>
      <c r="D41" s="39"/>
      <c r="E41" s="39"/>
      <c r="F41" s="39"/>
      <c r="G41" s="39"/>
      <c r="H41" s="39"/>
    </row>
    <row r="42" customFormat="false" ht="12.8" hidden="false" customHeight="false" outlineLevel="0" collapsed="false">
      <c r="A42" s="36" t="n">
        <v>8.2E-005</v>
      </c>
      <c r="B42" s="36" t="n">
        <v>3E-005</v>
      </c>
      <c r="C42" s="36" t="n">
        <v>0.00017</v>
      </c>
      <c r="D42" s="36" t="n">
        <v>7E-005</v>
      </c>
      <c r="E42" s="36" t="n">
        <v>9E-005</v>
      </c>
      <c r="F42" s="37" t="n">
        <v>3E-005</v>
      </c>
      <c r="G42" s="37" t="n">
        <v>0.00017</v>
      </c>
      <c r="H42" s="37" t="n">
        <v>8E-005</v>
      </c>
    </row>
    <row r="43" customFormat="false" ht="12.8" hidden="false" customHeight="false" outlineLevel="0" collapsed="false">
      <c r="A43" s="26" t="s">
        <v>385</v>
      </c>
      <c r="B43" s="36" t="n">
        <v>2.5E-019</v>
      </c>
      <c r="C43" s="36" t="n">
        <v>9.2E-024</v>
      </c>
      <c r="D43" s="26"/>
      <c r="E43" s="26" t="s">
        <v>386</v>
      </c>
      <c r="F43" s="38" t="n">
        <v>0.1</v>
      </c>
      <c r="G43" s="38" t="s">
        <v>387</v>
      </c>
      <c r="H43" s="38" t="n">
        <v>0.7</v>
      </c>
    </row>
    <row r="44" customFormat="false" ht="12.8" hidden="false" customHeight="false" outlineLevel="0" collapsed="false">
      <c r="A44" s="39" t="s">
        <v>401</v>
      </c>
      <c r="B44" s="39"/>
      <c r="C44" s="39"/>
      <c r="D44" s="39"/>
      <c r="E44" s="39"/>
      <c r="F44" s="39"/>
      <c r="G44" s="39"/>
      <c r="H44" s="39"/>
    </row>
    <row r="45" customFormat="false" ht="12.8" hidden="false" customHeight="false" outlineLevel="0" collapsed="false">
      <c r="A45" s="45" t="n">
        <v>12223</v>
      </c>
      <c r="B45" s="45" t="n">
        <v>7173</v>
      </c>
      <c r="C45" s="45" t="n">
        <v>5779</v>
      </c>
      <c r="D45" s="45" t="n">
        <v>1886</v>
      </c>
      <c r="E45" s="45" t="n">
        <v>11568</v>
      </c>
      <c r="F45" s="46" t="n">
        <v>8658</v>
      </c>
      <c r="G45" s="46" t="n">
        <v>5965</v>
      </c>
      <c r="H45" s="46" t="n">
        <v>2790</v>
      </c>
    </row>
    <row r="46" customFormat="false" ht="12.8" hidden="false" customHeight="false" outlineLevel="0" collapsed="false">
      <c r="A46" s="26" t="s">
        <v>385</v>
      </c>
      <c r="B46" s="36" t="n">
        <v>4.4E-018</v>
      </c>
      <c r="C46" s="36" t="n">
        <v>2.9E-020</v>
      </c>
      <c r="D46" s="26"/>
      <c r="E46" s="26" t="s">
        <v>386</v>
      </c>
      <c r="F46" s="38" t="n">
        <v>0.042</v>
      </c>
      <c r="G46" s="38" t="s">
        <v>387</v>
      </c>
      <c r="H46" s="38" t="n">
        <v>0.7</v>
      </c>
    </row>
    <row r="47" customFormat="false" ht="12.8" hidden="false" customHeight="false" outlineLevel="0" collapsed="false">
      <c r="F47" s="16"/>
      <c r="G47" s="16"/>
      <c r="H47" s="16"/>
    </row>
    <row r="51" customFormat="false" ht="12.8" hidden="false" customHeight="false" outlineLevel="0" collapsed="false">
      <c r="A51" s="2"/>
      <c r="B51" s="2"/>
      <c r="C51" s="2"/>
      <c r="D51" s="2"/>
      <c r="E51" s="2"/>
      <c r="F51" s="2"/>
      <c r="G51" s="2"/>
      <c r="H51" s="2"/>
    </row>
    <row r="52" customFormat="false" ht="12.8" hidden="false" customHeight="false" outlineLevel="0" collapsed="false">
      <c r="A52" s="2"/>
      <c r="B52" s="2"/>
      <c r="C52" s="2"/>
      <c r="D52" s="2"/>
      <c r="E52" s="2"/>
      <c r="F52" s="2"/>
      <c r="G52" s="2"/>
      <c r="H52" s="2"/>
    </row>
    <row r="53" customFormat="false" ht="12.8" hidden="false" customHeight="false" outlineLevel="0" collapsed="false">
      <c r="A53" s="47"/>
      <c r="B53" s="47"/>
      <c r="C53" s="47"/>
      <c r="D53" s="47"/>
      <c r="E53" s="47"/>
      <c r="F53" s="47"/>
      <c r="G53" s="47"/>
      <c r="H53" s="47"/>
    </row>
    <row r="54" customFormat="false" ht="12.8" hidden="false" customHeight="false" outlineLevel="0" collapsed="false">
      <c r="A54" s="2"/>
      <c r="B54" s="2"/>
      <c r="C54" s="2"/>
      <c r="D54" s="2"/>
      <c r="E54" s="2"/>
      <c r="F54" s="2"/>
      <c r="G54" s="2"/>
      <c r="H54" s="2"/>
    </row>
    <row r="55" customFormat="false" ht="12.8" hidden="false" customHeight="false" outlineLevel="0" collapsed="false">
      <c r="A55" s="48"/>
      <c r="B55" s="49"/>
      <c r="C55" s="49"/>
      <c r="D55" s="48"/>
      <c r="E55" s="48"/>
      <c r="F55" s="50"/>
      <c r="G55" s="48"/>
      <c r="H55" s="50"/>
    </row>
    <row r="56" customFormat="false" ht="12.8" hidden="false" customHeight="false" outlineLevel="0" collapsed="false">
      <c r="A56" s="2"/>
      <c r="B56" s="2"/>
      <c r="C56" s="2"/>
      <c r="D56" s="2"/>
      <c r="E56" s="2"/>
      <c r="F56" s="2"/>
      <c r="G56" s="2"/>
      <c r="H56" s="2"/>
    </row>
    <row r="57" customFormat="false" ht="12.8" hidden="false" customHeight="false" outlineLevel="0" collapsed="false">
      <c r="A57" s="2"/>
      <c r="B57" s="2"/>
      <c r="C57" s="2"/>
      <c r="D57" s="2"/>
      <c r="E57" s="2"/>
      <c r="F57" s="2"/>
      <c r="G57" s="2"/>
      <c r="H57" s="2"/>
    </row>
    <row r="58" customFormat="false" ht="12.8" hidden="false" customHeight="false" outlineLevel="0" collapsed="false">
      <c r="A58" s="2"/>
      <c r="B58" s="2"/>
      <c r="C58" s="2"/>
      <c r="D58" s="2"/>
      <c r="E58" s="2"/>
      <c r="F58" s="2"/>
      <c r="G58" s="2"/>
      <c r="H58" s="2"/>
    </row>
    <row r="59" customFormat="false" ht="12.8" hidden="false" customHeight="false" outlineLevel="0" collapsed="false">
      <c r="A59" s="2"/>
      <c r="B59" s="2"/>
      <c r="C59" s="2"/>
      <c r="D59" s="2"/>
      <c r="E59" s="2"/>
      <c r="F59" s="2"/>
      <c r="G59" s="2"/>
      <c r="H59" s="2"/>
    </row>
    <row r="60" customFormat="false" ht="12.8" hidden="false" customHeight="false" outlineLevel="0" collapsed="false">
      <c r="A60" s="2"/>
      <c r="B60" s="2"/>
      <c r="C60" s="2"/>
      <c r="D60" s="2"/>
      <c r="E60" s="2"/>
      <c r="F60" s="2"/>
      <c r="G60" s="2"/>
      <c r="H60" s="2"/>
    </row>
    <row r="61" customFormat="false" ht="12.8" hidden="false" customHeight="false" outlineLevel="0" collapsed="false">
      <c r="A61" s="2"/>
      <c r="B61" s="2"/>
      <c r="C61" s="2"/>
      <c r="D61" s="2"/>
      <c r="E61" s="2"/>
      <c r="F61" s="2"/>
      <c r="G61" s="2"/>
      <c r="H61" s="2"/>
    </row>
    <row r="62" customFormat="false" ht="12.8" hidden="false" customHeight="false" outlineLevel="0" collapsed="false">
      <c r="A62" s="47"/>
      <c r="B62" s="47"/>
      <c r="C62" s="47"/>
      <c r="D62" s="47"/>
      <c r="E62" s="47"/>
      <c r="F62" s="47"/>
      <c r="G62" s="47"/>
      <c r="H62" s="47"/>
    </row>
    <row r="63" customFormat="false" ht="12.8" hidden="false" customHeight="false" outlineLevel="0" collapsed="false">
      <c r="A63" s="2"/>
      <c r="B63" s="2"/>
      <c r="C63" s="2"/>
      <c r="D63" s="2"/>
      <c r="E63" s="2"/>
      <c r="F63" s="2"/>
      <c r="G63" s="2"/>
      <c r="H63" s="2"/>
    </row>
    <row r="64" customFormat="false" ht="12.8" hidden="false" customHeight="false" outlineLevel="0" collapsed="false">
      <c r="A64" s="48"/>
      <c r="B64" s="49"/>
      <c r="C64" s="49"/>
      <c r="D64" s="48"/>
      <c r="E64" s="48"/>
      <c r="F64" s="51"/>
      <c r="G64" s="48"/>
      <c r="H64" s="51"/>
    </row>
    <row r="65" customFormat="false" ht="12.8" hidden="false" customHeight="false" outlineLevel="0" collapsed="false">
      <c r="A65" s="47"/>
      <c r="B65" s="47"/>
      <c r="C65" s="47"/>
      <c r="D65" s="47"/>
      <c r="E65" s="47"/>
      <c r="F65" s="47"/>
      <c r="G65" s="47"/>
      <c r="H65" s="47"/>
    </row>
    <row r="66" customFormat="false" ht="12.8" hidden="false" customHeight="false" outlineLevel="0" collapsed="false">
      <c r="A66" s="2"/>
      <c r="B66" s="2"/>
      <c r="C66" s="2"/>
      <c r="D66" s="2"/>
      <c r="E66" s="2"/>
      <c r="F66" s="2"/>
      <c r="G66" s="2"/>
      <c r="H66" s="2"/>
    </row>
    <row r="67" customFormat="false" ht="12.8" hidden="false" customHeight="false" outlineLevel="0" collapsed="false">
      <c r="A67" s="48"/>
      <c r="B67" s="49"/>
      <c r="C67" s="49"/>
      <c r="D67" s="48"/>
      <c r="E67" s="48"/>
      <c r="F67" s="50"/>
      <c r="G67" s="48"/>
      <c r="H67" s="50"/>
    </row>
    <row r="68" customFormat="false" ht="12.8" hidden="false" customHeight="false" outlineLevel="0" collapsed="false">
      <c r="A68" s="47"/>
      <c r="B68" s="47"/>
      <c r="C68" s="47"/>
      <c r="D68" s="47"/>
      <c r="E68" s="47"/>
      <c r="F68" s="47"/>
      <c r="G68" s="47"/>
      <c r="H68" s="47"/>
    </row>
    <row r="69" customFormat="false" ht="12.8" hidden="false" customHeight="false" outlineLevel="0" collapsed="false">
      <c r="A69" s="2"/>
      <c r="B69" s="2"/>
      <c r="C69" s="2"/>
      <c r="D69" s="2"/>
      <c r="E69" s="2"/>
      <c r="F69" s="2"/>
      <c r="G69" s="2"/>
      <c r="H69" s="2"/>
    </row>
    <row r="70" customFormat="false" ht="12.8" hidden="false" customHeight="false" outlineLevel="0" collapsed="false">
      <c r="A70" s="48"/>
      <c r="B70" s="2"/>
      <c r="C70" s="2"/>
      <c r="D70" s="2"/>
      <c r="E70" s="2"/>
      <c r="F70" s="2"/>
      <c r="G70" s="2"/>
      <c r="H70" s="2"/>
    </row>
    <row r="71" customFormat="false" ht="12.8" hidden="false" customHeight="false" outlineLevel="0" collapsed="false">
      <c r="A71" s="47"/>
      <c r="B71" s="47"/>
      <c r="C71" s="47"/>
      <c r="D71" s="47"/>
      <c r="E71" s="47"/>
      <c r="F71" s="47"/>
      <c r="G71" s="47"/>
      <c r="H71" s="47"/>
    </row>
    <row r="72" customFormat="false" ht="12.8" hidden="false" customHeight="false" outlineLevel="0" collapsed="false">
      <c r="A72" s="2"/>
      <c r="B72" s="2"/>
      <c r="C72" s="2"/>
      <c r="D72" s="2"/>
      <c r="E72" s="2"/>
      <c r="F72" s="2"/>
      <c r="G72" s="2"/>
      <c r="H72" s="2"/>
    </row>
    <row r="73" customFormat="false" ht="12.8" hidden="false" customHeight="false" outlineLevel="0" collapsed="false">
      <c r="A73" s="48"/>
      <c r="B73" s="2"/>
      <c r="C73" s="2"/>
      <c r="D73" s="2"/>
      <c r="E73" s="2"/>
      <c r="F73" s="2"/>
      <c r="G73" s="2"/>
      <c r="H73" s="2"/>
    </row>
    <row r="74" customFormat="false" ht="12.8" hidden="false" customHeight="false" outlineLevel="0" collapsed="false">
      <c r="A74" s="2"/>
      <c r="B74" s="2"/>
      <c r="C74" s="2"/>
      <c r="D74" s="2"/>
      <c r="E74" s="2"/>
      <c r="F74" s="2"/>
      <c r="G74" s="2"/>
      <c r="H74" s="2"/>
    </row>
    <row r="75" customFormat="false" ht="12.8" hidden="false" customHeight="false" outlineLevel="0" collapsed="false">
      <c r="A75" s="2"/>
      <c r="B75" s="2"/>
      <c r="C75" s="2"/>
      <c r="D75" s="2"/>
      <c r="E75" s="2"/>
      <c r="F75" s="2"/>
      <c r="G75" s="2"/>
      <c r="H75" s="2"/>
    </row>
    <row r="76" customFormat="false" ht="12.8" hidden="false" customHeight="false" outlineLevel="0" collapsed="false">
      <c r="A76" s="2"/>
      <c r="B76" s="2"/>
      <c r="C76" s="2"/>
      <c r="D76" s="2"/>
      <c r="E76" s="2"/>
      <c r="F76" s="2"/>
      <c r="G76" s="2"/>
      <c r="H76" s="2"/>
    </row>
    <row r="77" customFormat="false" ht="12.8" hidden="false" customHeight="false" outlineLevel="0" collapsed="false">
      <c r="A77" s="52"/>
      <c r="B77" s="52"/>
      <c r="C77" s="52"/>
      <c r="D77" s="52"/>
      <c r="E77" s="52"/>
      <c r="F77" s="52"/>
      <c r="G77" s="52"/>
      <c r="H77" s="52"/>
    </row>
    <row r="78" customFormat="false" ht="12.8" hidden="false" customHeight="false" outlineLevel="0" collapsed="false">
      <c r="A78" s="2"/>
      <c r="B78" s="2"/>
      <c r="C78" s="2"/>
      <c r="D78" s="2"/>
      <c r="E78" s="2"/>
      <c r="F78" s="2"/>
      <c r="G78" s="2"/>
      <c r="H78" s="2"/>
    </row>
    <row r="79" customFormat="false" ht="12.8" hidden="false" customHeight="false" outlineLevel="0" collapsed="false">
      <c r="A79" s="2"/>
      <c r="B79" s="53"/>
      <c r="C79" s="54"/>
      <c r="D79" s="2"/>
      <c r="E79" s="2"/>
      <c r="F79" s="2"/>
      <c r="G79" s="2"/>
      <c r="H79" s="2"/>
    </row>
    <row r="80" customFormat="false" ht="12.8" hidden="false" customHeight="false" outlineLevel="0" collapsed="false">
      <c r="A80" s="2"/>
      <c r="B80" s="2"/>
      <c r="C80" s="2"/>
      <c r="D80" s="2"/>
      <c r="E80" s="2"/>
      <c r="F80" s="2"/>
      <c r="G80" s="2"/>
      <c r="H80" s="2"/>
    </row>
  </sheetData>
  <mergeCells count="21">
    <mergeCell ref="A2:H2"/>
    <mergeCell ref="A5:H5"/>
    <mergeCell ref="A8:H8"/>
    <mergeCell ref="A11:H11"/>
    <mergeCell ref="A14:H14"/>
    <mergeCell ref="A17:H17"/>
    <mergeCell ref="A20:H20"/>
    <mergeCell ref="A23:H23"/>
    <mergeCell ref="A26:H26"/>
    <mergeCell ref="A29:H29"/>
    <mergeCell ref="A32:H32"/>
    <mergeCell ref="A35:H35"/>
    <mergeCell ref="A38:H38"/>
    <mergeCell ref="A41:H41"/>
    <mergeCell ref="A44:H44"/>
    <mergeCell ref="A53:H53"/>
    <mergeCell ref="A62:H62"/>
    <mergeCell ref="A65:H65"/>
    <mergeCell ref="A68:H68"/>
    <mergeCell ref="A71:H71"/>
    <mergeCell ref="A77:H77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50153</TotalTime>
  <Application>LibreOffice/7.2.5.2$MacOSX_X86_64 LibreOffice_project/499f9727c189e6ef3471021d6132d4c694f357e5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2026-05-25T14:56:40Z</dcterms:modified>
  <cp:revision>2061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